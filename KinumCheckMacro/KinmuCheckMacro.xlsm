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ink/ink1.xml" ContentType="application/inkml+xml"/>
  <Override PartName="/xl/comments2.xml" ContentType="application/vnd.openxmlformats-officedocument.spreadsheetml.comments+xml"/>
  <Override PartName="/xl/threadedComments/threadedComment2.xml" ContentType="application/vnd.ms-excel.threaded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filterPrivacy="1" codeName="ThisWorkbook"/>
  <xr:revisionPtr revIDLastSave="0" documentId="13_ncr:1_{0E99A604-5B42-418E-AAB1-782B83D7273A}" xr6:coauthVersionLast="45" xr6:coauthVersionMax="45" xr10:uidLastSave="{00000000-0000-0000-0000-000000000000}"/>
  <bookViews>
    <workbookView xWindow="-98" yWindow="-98" windowWidth="22695" windowHeight="14595" firstSheet="2" activeTab="3" xr2:uid="{00000000-000D-0000-FFFF-FFFF00000000}"/>
  </bookViews>
  <sheets>
    <sheet name="変更履歴" sheetId="1" r:id="rId1"/>
    <sheet name="要望" sheetId="11" r:id="rId2"/>
    <sheet name="チェック" sheetId="3" r:id="rId3"/>
    <sheet name="チェック結果" sheetId="10" r:id="rId4"/>
    <sheet name="カレンダー" sheetId="4" r:id="rId5"/>
    <sheet name="設計書" sheetId="2" r:id="rId6"/>
  </sheets>
  <functionGroups builtInGroupCount="19"/>
  <definedNames>
    <definedName name="_xlnm._FilterDatabase" localSheetId="3" hidden="1">チェック結果!$B$6:$F$6</definedName>
    <definedName name="DebugLogLevel">チェック!$G$40</definedName>
    <definedName name="DirCheckedResult">チェック!$G$25</definedName>
    <definedName name="DirOutputDebugLog">チェック!$G$43</definedName>
    <definedName name="FileCheckedResult">チェック!$G$26</definedName>
    <definedName name="IsOutputCell">チェック!$G$28</definedName>
    <definedName name="IsOutputDebugLogFile">チェック!$G$42</definedName>
    <definedName name="IsOutputDetail">チェック!$G$36</definedName>
    <definedName name="IsOutputErrorBp">チェック!$G$32</definedName>
    <definedName name="IsOutputErrorSky">チェック!$G$29</definedName>
    <definedName name="IsOutputFile">チェック!$G$24</definedName>
    <definedName name="IsOutputInfoBp">チェック!$G$34</definedName>
    <definedName name="IsOutputInfoSky">チェック!$G$31</definedName>
    <definedName name="IsOutputWarningBp">チェック!$G$33</definedName>
    <definedName name="IsOutputWarningSky">チェック!$G$30</definedName>
    <definedName name="NameDebugLogFile">チェック!$G$44</definedName>
    <definedName name="スケジュール">カレンダー!$C$13:$G$50</definedName>
    <definedName name="スケジュール種別">カレンダー!$D$3:$D$8</definedName>
    <definedName name="チェック対象フォルダ">チェック!$G$7</definedName>
    <definedName name="チェック対象月">チェック!$G$11</definedName>
    <definedName name="チェック対象年">チェック!$G$10</definedName>
    <definedName name="バックアップ先">チェック!$G$8</definedName>
    <definedName name="メンバ一覧_BP">チェック!$D$61:$N$67</definedName>
    <definedName name="メンバ一覧_Sky">チェック!$D$51:$N$57</definedName>
    <definedName name="昼休憩時間">チェック!$G$16</definedName>
    <definedName name="定時後休憩時間">チェック!$G$17</definedName>
    <definedName name="定時語休憩時間">チェック!$G$17</definedName>
    <definedName name="定時出勤時間">チェック!$G$14</definedName>
    <definedName name="定時退勤時間">チェック!$G$15</definedName>
    <definedName name="定時退社日">チェック!$G$18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8" i="3" l="1"/>
  <c r="C7" i="3"/>
  <c r="C43" i="3"/>
  <c r="C25" i="3"/>
  <c r="G10" i="3" l="1"/>
  <c r="G11" i="3"/>
  <c r="G8" i="3" l="1"/>
  <c r="G25" i="3" s="1"/>
  <c r="N56" i="3"/>
  <c r="N52" i="3"/>
  <c r="N55" i="3"/>
  <c r="N54" i="3"/>
  <c r="N53" i="3"/>
  <c r="N62" i="3"/>
  <c r="N63" i="3"/>
  <c r="N64" i="3"/>
  <c r="N65" i="3"/>
  <c r="N66" i="3"/>
  <c r="G43"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tc={243FC832-F464-4512-ACA0-0AEFFB6A8E12}</author>
    <author>tc={374590E6-38B2-415D-BA9C-43CE6A65CBC4}</author>
    <author>tc={74460AA6-9D9E-4D6D-A36F-57CF2066B4E7}</author>
    <author>tc={836F79C5-76DD-48B6-8594-8C1B7F830EF4}</author>
  </authors>
  <commentList>
    <comment ref="D8" authorId="0" shapeId="0" xr:uid="{243FC832-F464-4512-ACA0-0AEFFB6A8E12}">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ファイルの破損を防ぐため、バックアップ先に対してファイル操作を行う。
※バックアップ先はローカル推奨
返信:
未入力の場合は対象フォルダと同階層にフォルダーを追加する。「backup_(日付)」</t>
      </text>
    </comment>
    <comment ref="D51" authorId="1" shapeId="0" xr:uid="{374590E6-38B2-415D-BA9C-43CE6A65CBC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空白行はFALSEとして扱う</t>
      </text>
    </comment>
    <comment ref="M51" authorId="2" shapeId="0" xr:uid="{74460AA6-9D9E-4D6D-A36F-57CF2066B4E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なんのために入力禁止欄を設けているのか。私は知らない。</t>
      </text>
    </comment>
    <comment ref="D61" authorId="3" shapeId="0" xr:uid="{836F79C5-76DD-48B6-8594-8C1B7F830EF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空白行はFALSEとして扱う</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tc={3F43D754-D347-49F2-A155-DDE26D4A85A5}</author>
    <author>tc={8462F406-A930-4D96-95BA-4674B83D5D80}</author>
  </authors>
  <commentList>
    <comment ref="C13" authorId="0" shapeId="0" xr:uid="{3F43D754-D347-49F2-A155-DDE26D4A85A5}">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過去のスケジュールは定期的に削除しないとチェック実行が遅くなる
返信:
重複(例えば国民の祝日でSky式典日)しているときは下に書かれたほうが有効</t>
      </text>
    </comment>
    <comment ref="F14" authorId="1" shapeId="0" xr:uid="{8462F406-A930-4D96-95BA-4674B83D5D8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ロジックが汚くなるので未入力の場合の挙動はつくらない。私は。</t>
      </text>
    </comment>
  </commentList>
</comments>
</file>

<file path=xl/sharedStrings.xml><?xml version="1.0" encoding="utf-8"?>
<sst xmlns="http://schemas.openxmlformats.org/spreadsheetml/2006/main" count="189" uniqueCount="116">
  <si>
    <t>国民の祝日</t>
    <rPh sb="0" eb="2">
      <t>コクミン</t>
    </rPh>
    <rPh sb="3" eb="5">
      <t>シュクジツ</t>
    </rPh>
    <phoneticPr fontId="1"/>
  </si>
  <si>
    <t>出勤日</t>
    <rPh sb="0" eb="3">
      <t>シュッキンビ</t>
    </rPh>
    <phoneticPr fontId="1"/>
  </si>
  <si>
    <t>備考</t>
    <rPh sb="0" eb="2">
      <t>ビコウ</t>
    </rPh>
    <phoneticPr fontId="1"/>
  </si>
  <si>
    <t>スケジュール</t>
    <phoneticPr fontId="1"/>
  </si>
  <si>
    <t>スケジュール(※定義されていない曜日は平日扱い)</t>
    <rPh sb="8" eb="10">
      <t>テイギ</t>
    </rPh>
    <rPh sb="16" eb="18">
      <t>ヨウビ</t>
    </rPh>
    <rPh sb="19" eb="21">
      <t>ヘイジツ</t>
    </rPh>
    <rPh sb="21" eb="22">
      <t>アツカ</t>
    </rPh>
    <phoneticPr fontId="1"/>
  </si>
  <si>
    <t>休日だが出勤日として扱いたい場合に使用する</t>
    <rPh sb="0" eb="2">
      <t>キュウジツ</t>
    </rPh>
    <rPh sb="4" eb="7">
      <t>シュッキンビ</t>
    </rPh>
    <rPh sb="10" eb="11">
      <t>アツカ</t>
    </rPh>
    <rPh sb="14" eb="16">
      <t>バアイ</t>
    </rPh>
    <rPh sb="17" eb="19">
      <t>シヨウ</t>
    </rPh>
    <phoneticPr fontId="1"/>
  </si>
  <si>
    <t>元日</t>
  </si>
  <si>
    <t>成人の日</t>
  </si>
  <si>
    <t>建国記念の日</t>
  </si>
  <si>
    <t>天皇誕生日</t>
  </si>
  <si>
    <t>休日</t>
  </si>
  <si>
    <t>春分の日</t>
  </si>
  <si>
    <t>昭和の日</t>
  </si>
  <si>
    <t>憲法記念日</t>
  </si>
  <si>
    <t>みどりの日</t>
  </si>
  <si>
    <t>こどもの日</t>
  </si>
  <si>
    <t>海の日</t>
  </si>
  <si>
    <t>スポーツの日</t>
  </si>
  <si>
    <t>山の日</t>
  </si>
  <si>
    <t>敬老の日</t>
  </si>
  <si>
    <t>秋分の日</t>
  </si>
  <si>
    <t>文化の日</t>
  </si>
  <si>
    <t>勤労感謝の日</t>
  </si>
  <si>
    <t>名前の定義の範囲が変わるため、この行は削除しないこと</t>
    <rPh sb="0" eb="2">
      <t>ナマエ</t>
    </rPh>
    <rPh sb="3" eb="5">
      <t>テイギ</t>
    </rPh>
    <rPh sb="6" eb="8">
      <t>ハンイ</t>
    </rPh>
    <rPh sb="9" eb="10">
      <t>カ</t>
    </rPh>
    <rPh sb="17" eb="18">
      <t>ギョウ</t>
    </rPh>
    <rPh sb="19" eb="21">
      <t>サクジョ</t>
    </rPh>
    <phoneticPr fontId="1"/>
  </si>
  <si>
    <t>■</t>
    <phoneticPr fontId="1"/>
  </si>
  <si>
    <t>日付</t>
    <rPh sb="0" eb="2">
      <t>ヒヅケ</t>
    </rPh>
    <phoneticPr fontId="1"/>
  </si>
  <si>
    <t>名前</t>
    <rPh sb="0" eb="2">
      <t>ナマエ</t>
    </rPh>
    <phoneticPr fontId="1"/>
  </si>
  <si>
    <t>参考)</t>
    <rPh sb="0" eb="2">
      <t>サンコウ</t>
    </rPh>
    <phoneticPr fontId="1"/>
  </si>
  <si>
    <t>https://www8.cao.go.jp/chosei/shukujitsu/gaiyou.html</t>
    <phoneticPr fontId="1"/>
  </si>
  <si>
    <t>種別</t>
    <rPh sb="0" eb="2">
      <t>シュベツ</t>
    </rPh>
    <phoneticPr fontId="1"/>
  </si>
  <si>
    <t>スケジュール種別</t>
    <rPh sb="6" eb="8">
      <t>シュベツ</t>
    </rPh>
    <phoneticPr fontId="1"/>
  </si>
  <si>
    <t>※名前の定義の範囲に注意。この行を削除しないこと。</t>
    <rPh sb="7" eb="9">
      <t>ハンイ</t>
    </rPh>
    <rPh sb="10" eb="12">
      <t>チュウイ</t>
    </rPh>
    <rPh sb="15" eb="16">
      <t>ギョウ</t>
    </rPh>
    <rPh sb="17" eb="19">
      <t>サクジョ</t>
    </rPh>
    <phoneticPr fontId="1"/>
  </si>
  <si>
    <t>http://www.plantuml.com/plantuml/uml/</t>
    <phoneticPr fontId="1"/>
  </si>
  <si>
    <t>Sky社員に限り、休日でも出勤日として扱う</t>
    <rPh sb="3" eb="5">
      <t>シャイン</t>
    </rPh>
    <rPh sb="6" eb="7">
      <t>カギ</t>
    </rPh>
    <rPh sb="9" eb="11">
      <t>キュウジツ</t>
    </rPh>
    <rPh sb="13" eb="16">
      <t>シュッキンビ</t>
    </rPh>
    <rPh sb="19" eb="20">
      <t>アツカ</t>
    </rPh>
    <phoneticPr fontId="1"/>
  </si>
  <si>
    <t>Sky式典日</t>
    <rPh sb="3" eb="5">
      <t>シキテン</t>
    </rPh>
    <rPh sb="5" eb="6">
      <t>ヒ</t>
    </rPh>
    <phoneticPr fontId="1"/>
  </si>
  <si>
    <t>チェック対象年</t>
    <rPh sb="4" eb="6">
      <t>タイショウ</t>
    </rPh>
    <rPh sb="6" eb="7">
      <t>ネン</t>
    </rPh>
    <phoneticPr fontId="1"/>
  </si>
  <si>
    <t>バックアップ先</t>
    <rPh sb="6" eb="7">
      <t>サキ</t>
    </rPh>
    <phoneticPr fontId="1"/>
  </si>
  <si>
    <t>チェック対象月</t>
    <rPh sb="4" eb="6">
      <t>タイショウ</t>
    </rPh>
    <rPh sb="6" eb="7">
      <t>ツキ</t>
    </rPh>
    <phoneticPr fontId="1"/>
  </si>
  <si>
    <t>BP</t>
    <phoneticPr fontId="1"/>
  </si>
  <si>
    <t>Sky</t>
    <phoneticPr fontId="1"/>
  </si>
  <si>
    <t>昼休憩時間</t>
    <rPh sb="0" eb="1">
      <t>ヒル</t>
    </rPh>
    <rPh sb="1" eb="5">
      <t>キュウケイジカン</t>
    </rPh>
    <phoneticPr fontId="1"/>
  </si>
  <si>
    <t>定時後休憩時間</t>
    <rPh sb="0" eb="2">
      <t>テイジ</t>
    </rPh>
    <rPh sb="2" eb="3">
      <t>ゴ</t>
    </rPh>
    <rPh sb="3" eb="7">
      <t>キュウケイジカン</t>
    </rPh>
    <phoneticPr fontId="1"/>
  </si>
  <si>
    <t>変更内容</t>
    <rPh sb="0" eb="4">
      <t>ヘンコウナイヨウ</t>
    </rPh>
    <phoneticPr fontId="1"/>
  </si>
  <si>
    <t>変更者</t>
    <rPh sb="0" eb="2">
      <t>ヘンコウ</t>
    </rPh>
    <rPh sb="2" eb="3">
      <t>シャ</t>
    </rPh>
    <phoneticPr fontId="1"/>
  </si>
  <si>
    <t>Version</t>
    <phoneticPr fontId="1"/>
  </si>
  <si>
    <t>チェック結果</t>
    <rPh sb="4" eb="6">
      <t>ケッカ</t>
    </rPh>
    <phoneticPr fontId="1"/>
  </si>
  <si>
    <t>定時退社日</t>
    <rPh sb="0" eb="5">
      <t>テイジタイシャビ</t>
    </rPh>
    <phoneticPr fontId="1"/>
  </si>
  <si>
    <t>水</t>
    <rPh sb="0" eb="1">
      <t>ミズ</t>
    </rPh>
    <phoneticPr fontId="1"/>
  </si>
  <si>
    <t>ERRORを出力するか</t>
    <rPh sb="6" eb="8">
      <t>シュツリョク</t>
    </rPh>
    <phoneticPr fontId="1"/>
  </si>
  <si>
    <t>WARNINGを出力するか</t>
    <rPh sb="8" eb="10">
      <t>シュツリョク</t>
    </rPh>
    <phoneticPr fontId="1"/>
  </si>
  <si>
    <t>INFOを出力するか</t>
    <rPh sb="5" eb="7">
      <t>シュツ</t>
    </rPh>
    <phoneticPr fontId="1"/>
  </si>
  <si>
    <t>yamamoto_h</t>
    <phoneticPr fontId="1"/>
  </si>
  <si>
    <t>正式公開</t>
    <rPh sb="0" eb="4">
      <t>セイシキコウカイ</t>
    </rPh>
    <phoneticPr fontId="1"/>
  </si>
  <si>
    <t>着想</t>
    <rPh sb="0" eb="2">
      <t>チャクソウ</t>
    </rPh>
    <phoneticPr fontId="1"/>
  </si>
  <si>
    <t>結果種別</t>
    <rPh sb="0" eb="2">
      <t>ケッカ</t>
    </rPh>
    <rPh sb="2" eb="4">
      <t>シュベツ</t>
    </rPh>
    <phoneticPr fontId="1"/>
  </si>
  <si>
    <t>内容</t>
    <rPh sb="0" eb="2">
      <t>ナイヨウ</t>
    </rPh>
    <phoneticPr fontId="1"/>
  </si>
  <si>
    <t>チェック結果詳細</t>
    <rPh sb="4" eb="6">
      <t>ケッカ</t>
    </rPh>
    <rPh sb="6" eb="8">
      <t>ショウサイ</t>
    </rPh>
    <phoneticPr fontId="1"/>
  </si>
  <si>
    <t>対象者</t>
    <rPh sb="0" eb="2">
      <t>タイショウ</t>
    </rPh>
    <rPh sb="2" eb="3">
      <t>シャ</t>
    </rPh>
    <phoneticPr fontId="1"/>
  </si>
  <si>
    <t>ファイルパス</t>
    <phoneticPr fontId="1"/>
  </si>
  <si>
    <t>Error</t>
  </si>
  <si>
    <t>対象フォルダ</t>
    <rPh sb="0" eb="2">
      <t>タイショウ</t>
    </rPh>
    <phoneticPr fontId="1"/>
  </si>
  <si>
    <t>ファイル出力するか</t>
    <rPh sb="4" eb="6">
      <t>シュツリョク</t>
    </rPh>
    <phoneticPr fontId="1"/>
  </si>
  <si>
    <t>フォーマット未作成。</t>
    <rPh sb="6" eb="9">
      <t>ミサクセイ</t>
    </rPh>
    <phoneticPr fontId="1"/>
  </si>
  <si>
    <t>定時出勤時間</t>
    <rPh sb="0" eb="2">
      <t>テイジ</t>
    </rPh>
    <rPh sb="2" eb="6">
      <t>シュッキンジカン</t>
    </rPh>
    <phoneticPr fontId="1"/>
  </si>
  <si>
    <t>定時退勤時間</t>
    <rPh sb="0" eb="2">
      <t>テイジ</t>
    </rPh>
    <rPh sb="2" eb="4">
      <t>タイキン</t>
    </rPh>
    <rPh sb="4" eb="6">
      <t>ジカン</t>
    </rPh>
    <phoneticPr fontId="1"/>
  </si>
  <si>
    <t>■勤務情報</t>
    <phoneticPr fontId="1"/>
  </si>
  <si>
    <t>■チェック結果</t>
    <phoneticPr fontId="1"/>
  </si>
  <si>
    <t>名前</t>
    <rPh sb="0" eb="2">
      <t>ナマエ</t>
    </rPh>
    <phoneticPr fontId="1"/>
  </si>
  <si>
    <t>社員ID</t>
    <rPh sb="0" eb="2">
      <t>シャイン</t>
    </rPh>
    <phoneticPr fontId="1"/>
  </si>
  <si>
    <t>青空太郎</t>
    <rPh sb="0" eb="2">
      <t>アオゾラ</t>
    </rPh>
    <rPh sb="2" eb="4">
      <t>タロウ</t>
    </rPh>
    <phoneticPr fontId="1"/>
  </si>
  <si>
    <t>青空花子</t>
    <rPh sb="0" eb="2">
      <t>アオゾラ</t>
    </rPh>
    <rPh sb="2" eb="4">
      <t>ハナコ</t>
    </rPh>
    <phoneticPr fontId="1"/>
  </si>
  <si>
    <t>青空敏郎</t>
    <rPh sb="0" eb="2">
      <t>アオゾラ</t>
    </rPh>
    <rPh sb="2" eb="4">
      <t>トシロウ</t>
    </rPh>
    <phoneticPr fontId="1"/>
  </si>
  <si>
    <t>セル出力するか</t>
    <phoneticPr fontId="1"/>
  </si>
  <si>
    <t>結果詳細を出力するか</t>
    <phoneticPr fontId="1"/>
  </si>
  <si>
    <t>チェック結果ファイル出力先ディレクトリ</t>
    <rPh sb="4" eb="6">
      <t>ケッカ</t>
    </rPh>
    <rPh sb="10" eb="13">
      <t>シュツリョクサキ</t>
    </rPh>
    <phoneticPr fontId="1"/>
  </si>
  <si>
    <t>Sky</t>
    <phoneticPr fontId="1"/>
  </si>
  <si>
    <t>BP</t>
    <phoneticPr fontId="1"/>
  </si>
  <si>
    <t>チェック設定(必須の項目)</t>
    <phoneticPr fontId="1"/>
  </si>
  <si>
    <t>チェック設定(任意の項目)</t>
    <phoneticPr fontId="1"/>
  </si>
  <si>
    <t>チェックするか</t>
    <phoneticPr fontId="1"/>
  </si>
  <si>
    <t>役職</t>
    <rPh sb="0" eb="2">
      <t>ヤクショク</t>
    </rPh>
    <phoneticPr fontId="1"/>
  </si>
  <si>
    <t>メインJOB</t>
    <phoneticPr fontId="1"/>
  </si>
  <si>
    <t>サブJOB</t>
    <phoneticPr fontId="1"/>
  </si>
  <si>
    <t>入力禁止</t>
    <rPh sb="0" eb="2">
      <t>ニュウリョク</t>
    </rPh>
    <rPh sb="2" eb="4">
      <t>キンシ</t>
    </rPh>
    <phoneticPr fontId="1"/>
  </si>
  <si>
    <t>ファイル名</t>
    <rPh sb="4" eb="5">
      <t>メイ</t>
    </rPh>
    <phoneticPr fontId="1"/>
  </si>
  <si>
    <t>■Path</t>
    <phoneticPr fontId="1"/>
  </si>
  <si>
    <r>
      <t>種別(</t>
    </r>
    <r>
      <rPr>
        <b/>
        <strike/>
        <sz val="11"/>
        <color theme="1"/>
        <rFont val="Meiryo UI"/>
        <family val="3"/>
        <charset val="128"/>
      </rPr>
      <t>未入力は「国民の祝日」扱い</t>
    </r>
    <r>
      <rPr>
        <b/>
        <sz val="11"/>
        <color theme="1"/>
        <rFont val="Meiryo UI"/>
        <family val="3"/>
        <charset val="128"/>
      </rPr>
      <t>)</t>
    </r>
    <rPh sb="0" eb="2">
      <t>シュベツ</t>
    </rPh>
    <rPh sb="3" eb="6">
      <t>ミニュウリョク</t>
    </rPh>
    <rPh sb="8" eb="10">
      <t>コクミン</t>
    </rPh>
    <rPh sb="11" eb="13">
      <t>シュクジツ</t>
    </rPh>
    <rPh sb="14" eb="15">
      <t>アツカ</t>
    </rPh>
    <phoneticPr fontId="1"/>
  </si>
  <si>
    <t>■参考</t>
    <rPh sb="1" eb="3">
      <t>サンコウ</t>
    </rPh>
    <phoneticPr fontId="1"/>
  </si>
  <si>
    <t>■クラス図</t>
    <phoneticPr fontId="1"/>
  </si>
  <si>
    <t>※PlantUMLで作成した</t>
    <rPh sb="10" eb="12">
      <t>サクセイ</t>
    </rPh>
    <phoneticPr fontId="1"/>
  </si>
  <si>
    <t>所属</t>
    <rPh sb="0" eb="2">
      <t>ショゾク</t>
    </rPh>
    <phoneticPr fontId="1"/>
  </si>
  <si>
    <t>PE10000</t>
    <phoneticPr fontId="1"/>
  </si>
  <si>
    <t>S1111</t>
    <phoneticPr fontId="1"/>
  </si>
  <si>
    <t>S2222</t>
    <phoneticPr fontId="1"/>
  </si>
  <si>
    <t>S3333</t>
    <phoneticPr fontId="1"/>
  </si>
  <si>
    <t>山田太郎</t>
    <rPh sb="0" eb="2">
      <t>ヤマダ</t>
    </rPh>
    <rPh sb="2" eb="4">
      <t>タロウ</t>
    </rPh>
    <phoneticPr fontId="1"/>
  </si>
  <si>
    <t>※この上の行に追加してください。※一番右のファイル名のコピーを忘れずに</t>
    <rPh sb="3" eb="4">
      <t>ウエ</t>
    </rPh>
    <rPh sb="5" eb="6">
      <t>ギョウ</t>
    </rPh>
    <rPh sb="7" eb="9">
      <t>ツイカ</t>
    </rPh>
    <rPh sb="17" eb="19">
      <t>イチバン</t>
    </rPh>
    <rPh sb="19" eb="20">
      <t>ミギ</t>
    </rPh>
    <rPh sb="25" eb="26">
      <t>メイ</t>
    </rPh>
    <rPh sb="31" eb="32">
      <t>ワス</t>
    </rPh>
    <phoneticPr fontId="1"/>
  </si>
  <si>
    <t>メンバ一覧</t>
    <rPh sb="3" eb="5">
      <t>イチラン</t>
    </rPh>
    <phoneticPr fontId="1"/>
  </si>
  <si>
    <t>C:\Users\mishi\Documents\Workspace\BusinessTools\003_Excel\勤務表チェックマクロ</t>
    <phoneticPr fontId="1"/>
  </si>
  <si>
    <t>ファイルを開けませんでした。</t>
  </si>
  <si>
    <t>C:\Users\mishi\Documents\Workspace\BusinessTools\003_Excel\勤務表チェックマクロ\202010- S1111 青空太郎 MSE品川.xlsm</t>
  </si>
  <si>
    <t>C:\Users\mishi\Documents\Workspace\BusinessTools\003_Excel\勤務表チェックマクロ\202010- S2222 青空花子 MSE品川.xlsm</t>
  </si>
  <si>
    <t>C:\Users\mishi\Documents\Workspace\BusinessTools\003_Excel\勤務表チェックマクロ\202010- S3333 青空敏郎 MSE品川.xlsm</t>
  </si>
  <si>
    <t>■デバッグ</t>
    <phoneticPr fontId="1"/>
  </si>
  <si>
    <t>出力ログレベル</t>
    <rPh sb="0" eb="2">
      <t>シュツリョク</t>
    </rPh>
    <phoneticPr fontId="1"/>
  </si>
  <si>
    <t>ログをファイル出力するか</t>
    <rPh sb="7" eb="9">
      <t>シュツリョク</t>
    </rPh>
    <phoneticPr fontId="1"/>
  </si>
  <si>
    <t>出力先ディレクトリ</t>
    <rPh sb="0" eb="3">
      <t>シュツリョクサキ</t>
    </rPh>
    <phoneticPr fontId="1"/>
  </si>
  <si>
    <t>ログファイル名</t>
    <rPh sb="6" eb="7">
      <t>メイ</t>
    </rPh>
    <phoneticPr fontId="1"/>
  </si>
  <si>
    <t>チェック結果ファイル名</t>
    <rPh sb="4" eb="6">
      <t>ケッカ</t>
    </rPh>
    <rPh sb="10" eb="11">
      <t>メイ</t>
    </rPh>
    <phoneticPr fontId="1"/>
  </si>
  <si>
    <t>CheckedResult.txt</t>
    <phoneticPr fontId="1"/>
  </si>
  <si>
    <t>DebugLog.txt</t>
    <phoneticPr fontId="1"/>
  </si>
  <si>
    <t>※(未実装)プリプロセッサで設定してください。</t>
    <rPh sb="2" eb="5">
      <t>ミジッソウ</t>
    </rPh>
    <rPh sb="14" eb="16">
      <t>セッテイ</t>
    </rPh>
    <phoneticPr fontId="1"/>
  </si>
  <si>
    <t>青空太郎</t>
  </si>
  <si>
    <t>青空花子</t>
  </si>
  <si>
    <t>青空敏郎</t>
  </si>
  <si>
    <t xml:space="preserve">■ 青空太郎_x000D_
C:\Users\mishi\Documents\Workspace\BusinessTools\003_Excel\勤務表チェックマクロ\202010- S1111 青空太郎 MSE品川.xlsm_x000D_
[Error]ファイルを開けませんでした。_x000D_
■ 青空花子_x000D_
C:\Users\mishi\Documents\Workspace\BusinessTools\003_Excel\勤務表チェックマクロ\202010- S2222 青空花子 MSE品川.xlsm_x000D_
[Error]ファイルを開けませんでした。_x000D_
■ 青空敏郎_x000D_
C:\Users\mishi\Documents\Workspace\BusinessTools\003_Excel\勤務表チェックマクロ\202010- S3333 青空敏郎 MSE品川.xlsm_x000D_
[Error]ファイルを開けませんでした。_x000D_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</si>
</sst>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00_);[Red]\(0.00\)"/>
    <numFmt numFmtId="177" formatCode="0_);[Red]\(0\)"/>
  </numFmts>
  <fonts count="9">
    <font>
      <sz val="11"/>
      <color theme="1"/>
      <name val="Yu Gothic"/>
      <family val="2"/>
      <scheme val="minor"/>
    </font>
    <font>
      <sz val="6"/>
      <name val="Yu Gothic"/>
      <family val="3"/>
      <charset val="128"/>
      <scheme val="minor"/>
    </font>
    <font>
      <u/>
      <sz val="11"/>
      <color theme="10"/>
      <name val="Yu Gothic"/>
      <family val="2"/>
      <scheme val="minor"/>
    </font>
    <font>
      <sz val="11"/>
      <color rgb="FF000000"/>
      <name val="Yu Gothic"/>
      <family val="3"/>
      <charset val="128"/>
    </font>
    <font>
      <sz val="11"/>
      <color theme="1"/>
      <name val="Meiryo UI"/>
      <family val="3"/>
      <charset val="128"/>
    </font>
    <font>
      <b/>
      <sz val="11"/>
      <color theme="1"/>
      <name val="Meiryo UI"/>
      <family val="3"/>
      <charset val="128"/>
    </font>
    <font>
      <b/>
      <u/>
      <sz val="11"/>
      <color theme="1"/>
      <name val="Meiryo UI"/>
      <family val="3"/>
      <charset val="128"/>
    </font>
    <font>
      <u/>
      <sz val="11"/>
      <color theme="10"/>
      <name val="Meiryo UI"/>
      <family val="3"/>
      <charset val="128"/>
    </font>
    <font>
      <b/>
      <strike/>
      <sz val="11"/>
      <color theme="1"/>
      <name val="Meiryo UI"/>
      <family val="3"/>
      <charset val="128"/>
    </font>
  </fonts>
  <fills count="7">
    <fill>
      <patternFill patternType="none"/>
    </fill>
    <fill>
      <patternFill patternType="gray125"/>
    </fill>
    <fill>
      <patternFill patternType="solid">
        <fgColor theme="4" tint="0.59999389629810485"/>
        <bgColor indexed="64"/>
      </patternFill>
    </fill>
    <fill>
      <patternFill patternType="solid">
        <fgColor theme="4" tint="0.39997558519241921"/>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s>
  <borders count="11">
    <border>
      <left/>
      <right/>
      <top/>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0" fontId="2" fillId="0" borderId="0" applyNumberFormat="0" applyFill="0" applyBorder="0" applyAlignment="0" applyProtection="0"/>
  </cellStyleXfs>
  <cellXfs count="46">
    <xf numFmtId="0" fontId="0" fillId="0" borderId="0" xfId="0"/>
    <xf numFmtId="14" fontId="0" fillId="0" borderId="0" xfId="0" applyNumberFormat="1"/>
    <xf numFmtId="176" fontId="0" fillId="0" borderId="0" xfId="0" applyNumberFormat="1"/>
    <xf numFmtId="0" fontId="0" fillId="2" borderId="2" xfId="0" applyFill="1" applyBorder="1"/>
    <xf numFmtId="176" fontId="0" fillId="2" borderId="2" xfId="0" applyNumberFormat="1" applyFill="1" applyBorder="1"/>
    <xf numFmtId="14" fontId="0" fillId="2" borderId="2" xfId="0" applyNumberFormat="1" applyFill="1" applyBorder="1"/>
    <xf numFmtId="14" fontId="0" fillId="0" borderId="0" xfId="0" applyNumberFormat="1" applyAlignment="1"/>
    <xf numFmtId="0" fontId="4" fillId="0" borderId="0" xfId="0" applyFont="1"/>
    <xf numFmtId="20" fontId="4" fillId="0" borderId="0" xfId="0" applyNumberFormat="1" applyFont="1"/>
    <xf numFmtId="0" fontId="4" fillId="3" borderId="5" xfId="0" applyFont="1" applyFill="1" applyBorder="1"/>
    <xf numFmtId="0" fontId="4" fillId="3" borderId="2" xfId="0" applyFont="1" applyFill="1" applyBorder="1"/>
    <xf numFmtId="0" fontId="4" fillId="3" borderId="6" xfId="0" applyFont="1" applyFill="1" applyBorder="1"/>
    <xf numFmtId="0" fontId="4" fillId="0" borderId="5" xfId="0" applyFont="1" applyBorder="1"/>
    <xf numFmtId="0" fontId="4" fillId="4" borderId="5" xfId="0" applyFont="1" applyFill="1" applyBorder="1"/>
    <xf numFmtId="0" fontId="4" fillId="4" borderId="2" xfId="0" applyFont="1" applyFill="1" applyBorder="1"/>
    <xf numFmtId="0" fontId="4" fillId="4" borderId="6" xfId="0" applyFont="1" applyFill="1" applyBorder="1"/>
    <xf numFmtId="0" fontId="4" fillId="3" borderId="7" xfId="0" applyFont="1" applyFill="1" applyBorder="1"/>
    <xf numFmtId="0" fontId="4" fillId="0" borderId="4" xfId="0" applyFont="1" applyBorder="1"/>
    <xf numFmtId="20" fontId="4" fillId="0" borderId="4" xfId="0" applyNumberFormat="1" applyFont="1" applyBorder="1"/>
    <xf numFmtId="20" fontId="4" fillId="0" borderId="4" xfId="0" applyNumberFormat="1" applyFont="1" applyBorder="1" applyAlignment="1">
      <alignment horizontal="center"/>
    </xf>
    <xf numFmtId="0" fontId="4" fillId="0" borderId="0" xfId="0" applyFont="1" applyBorder="1"/>
    <xf numFmtId="20" fontId="4" fillId="0" borderId="0" xfId="0" applyNumberFormat="1" applyFont="1" applyBorder="1" applyAlignment="1">
      <alignment horizontal="center"/>
    </xf>
    <xf numFmtId="20" fontId="4" fillId="0" borderId="0" xfId="0" applyNumberFormat="1" applyFont="1" applyBorder="1"/>
    <xf numFmtId="0" fontId="4" fillId="3" borderId="8" xfId="0" applyFont="1" applyFill="1" applyBorder="1"/>
    <xf numFmtId="0" fontId="4" fillId="3" borderId="9" xfId="0" applyFont="1" applyFill="1" applyBorder="1"/>
    <xf numFmtId="0" fontId="4" fillId="3" borderId="10" xfId="0" applyFont="1" applyFill="1" applyBorder="1"/>
    <xf numFmtId="0" fontId="6" fillId="0" borderId="0" xfId="0" applyFont="1"/>
    <xf numFmtId="0" fontId="4" fillId="3" borderId="4" xfId="0" applyFont="1" applyFill="1" applyBorder="1"/>
    <xf numFmtId="0" fontId="4" fillId="0" borderId="0" xfId="0" applyFont="1" applyAlignment="1">
      <alignment wrapText="1"/>
    </xf>
    <xf numFmtId="14" fontId="4" fillId="0" borderId="0" xfId="0" applyNumberFormat="1" applyFont="1"/>
    <xf numFmtId="0" fontId="7" fillId="0" borderId="0" xfId="1" applyFont="1"/>
    <xf numFmtId="14" fontId="4" fillId="0" borderId="0" xfId="0" applyNumberFormat="1" applyFont="1" applyAlignment="1">
      <alignment horizontal="left"/>
    </xf>
    <xf numFmtId="14" fontId="5" fillId="3" borderId="2" xfId="0" applyNumberFormat="1" applyFont="1" applyFill="1" applyBorder="1"/>
    <xf numFmtId="0" fontId="5" fillId="3" borderId="2" xfId="0" applyFont="1" applyFill="1" applyBorder="1"/>
    <xf numFmtId="14" fontId="5" fillId="3" borderId="3" xfId="0" applyNumberFormat="1" applyFont="1" applyFill="1" applyBorder="1"/>
    <xf numFmtId="0" fontId="5" fillId="3" borderId="3" xfId="0" applyFont="1" applyFill="1" applyBorder="1"/>
    <xf numFmtId="14" fontId="5" fillId="3" borderId="1" xfId="0" applyNumberFormat="1" applyFont="1" applyFill="1" applyBorder="1"/>
    <xf numFmtId="0" fontId="5" fillId="3" borderId="1" xfId="0" applyFont="1" applyFill="1" applyBorder="1"/>
    <xf numFmtId="0" fontId="4" fillId="5" borderId="4" xfId="0" applyFont="1" applyFill="1" applyBorder="1"/>
    <xf numFmtId="0" fontId="4" fillId="6" borderId="4" xfId="0" applyFont="1" applyFill="1" applyBorder="1"/>
    <xf numFmtId="0" fontId="4" fillId="5" borderId="6" xfId="0" applyFont="1" applyFill="1" applyBorder="1"/>
    <xf numFmtId="0" fontId="4" fillId="4" borderId="6" xfId="0" quotePrefix="1" applyFont="1" applyFill="1" applyBorder="1"/>
    <xf numFmtId="0" fontId="4" fillId="0" borderId="0" xfId="0" quotePrefix="1" applyFont="1"/>
    <xf numFmtId="177" fontId="4" fillId="0" borderId="4" xfId="0" applyNumberFormat="1" applyFont="1" applyBorder="1" applyAlignment="1">
      <alignment horizontal="center"/>
    </xf>
    <xf numFmtId="0" fontId="2" fillId="3" borderId="6" xfId="1" applyFill="1" applyBorder="1"/>
    <xf numFmtId="0" fontId="2" fillId="0" borderId="0" xfId="1"/>
  </cellXfs>
  <cellStyles count="2">
    <cellStyle name="ハイパーリンク" xfId="1" builtinId="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1.xml"/></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0</xdr:colOff>
          <xdr:row>1</xdr:row>
          <xdr:rowOff>4763</xdr:rowOff>
        </xdr:from>
        <xdr:to>
          <xdr:col>9</xdr:col>
          <xdr:colOff>0</xdr:colOff>
          <xdr:row>2</xdr:row>
          <xdr:rowOff>0</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w="9525">
              <a:miter lim="800000"/>
              <a:headEnd/>
              <a:tailEnd/>
            </a:ln>
          </xdr:spPr>
          <xdr:txBody>
            <a:bodyPr vertOverflow="clip" wrap="square" lIns="45720" tIns="64008" rIns="45720" bIns="64008" anchor="ctr" upright="1"/>
            <a:lstStyle/>
            <a:p>
              <a:pPr algn="ctr" rtl="0">
                <a:defRPr sz="1000"/>
              </a:pPr>
              <a:r>
                <a:rPr lang="ja-JP" altLang="en-US" sz="1100" b="0" i="0" u="none" strike="noStrike" baseline="0">
                  <a:solidFill>
                    <a:srgbClr val="000000"/>
                  </a:solidFill>
                  <a:latin typeface="Yu Gothic"/>
                  <a:ea typeface="Yu Gothic"/>
                </a:rPr>
                <a:t>CheckSky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4763</xdr:rowOff>
        </xdr:from>
        <xdr:to>
          <xdr:col>12</xdr:col>
          <xdr:colOff>0</xdr:colOff>
          <xdr:row>2</xdr:row>
          <xdr:rowOff>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w="9525">
              <a:miter lim="800000"/>
              <a:headEnd/>
              <a:tailEnd/>
            </a:ln>
          </xdr:spPr>
          <xdr:txBody>
            <a:bodyPr vertOverflow="clip" wrap="square" lIns="45720" tIns="64008" rIns="45720" bIns="64008" anchor="ctr" upright="1"/>
            <a:lstStyle/>
            <a:p>
              <a:pPr algn="ctr" rtl="0">
                <a:defRPr sz="1000"/>
              </a:pPr>
              <a:r>
                <a:rPr lang="ja-JP" altLang="en-US" sz="1100" b="0" i="0" u="none" strike="noStrike" baseline="0">
                  <a:solidFill>
                    <a:srgbClr val="000000"/>
                  </a:solidFill>
                  <a:latin typeface="Yu Gothic"/>
                  <a:ea typeface="Yu Gothic"/>
                </a:rPr>
                <a:t>CheckBP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1</xdr:row>
          <xdr:rowOff>0</xdr:rowOff>
        </xdr:from>
        <xdr:to>
          <xdr:col>6</xdr:col>
          <xdr:colOff>0</xdr:colOff>
          <xdr:row>2</xdr:row>
          <xdr:rowOff>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w="9525">
              <a:miter lim="800000"/>
              <a:headEnd/>
              <a:tailEnd/>
            </a:ln>
          </xdr:spPr>
          <xdr:txBody>
            <a:bodyPr vertOverflow="clip" wrap="square" lIns="45720" tIns="64008" rIns="45720" bIns="64008" anchor="ctr" upright="1"/>
            <a:lstStyle/>
            <a:p>
              <a:pPr algn="ctr" rtl="0">
                <a:defRPr sz="1000"/>
              </a:pPr>
              <a:r>
                <a:rPr lang="ja-JP" altLang="en-US" sz="1100" b="0" i="0" u="none" strike="noStrike" baseline="0">
                  <a:solidFill>
                    <a:srgbClr val="000000"/>
                  </a:solidFill>
                  <a:latin typeface="Yu Gothic"/>
                  <a:ea typeface="Yu Gothic"/>
                </a:rPr>
                <a:t>CheckALL</a:t>
              </a:r>
            </a:p>
          </xdr:txBody>
        </xdr:sp>
        <xdr:clientData fPrintsWithSheet="0"/>
      </xdr:twoCellAnchor>
    </mc:Choice>
    <mc:Fallback/>
  </mc:AlternateContent>
  <xdr:twoCellAnchor editAs="oneCell">
    <xdr:from>
      <xdr:col>4</xdr:col>
      <xdr:colOff>55491</xdr:colOff>
      <xdr:row>5</xdr:row>
      <xdr:rowOff>0</xdr:rowOff>
    </xdr:from>
    <xdr:to>
      <xdr:col>4</xdr:col>
      <xdr:colOff>55851</xdr:colOff>
      <xdr:row>5</xdr:row>
      <xdr:rowOff>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3" name="インク 2">
              <a:extLst>
                <a:ext uri="{FF2B5EF4-FFF2-40B4-BE49-F238E27FC236}">
                  <a16:creationId xmlns:a16="http://schemas.microsoft.com/office/drawing/2014/main" id="{00000000-0008-0000-0200-000003000000}"/>
                </a:ext>
              </a:extLst>
            </xdr14:cNvPr>
            <xdr14:cNvContentPartPr/>
          </xdr14:nvContentPartPr>
          <xdr14:nvPr macro=""/>
          <xdr14:xfrm>
            <a:off x="1405800" y="974520"/>
            <a:ext cx="360" cy="360"/>
          </xdr14:xfrm>
        </xdr:contentPart>
      </mc:Choice>
      <mc:Fallback xmlns="">
        <xdr:pic>
          <xdr:nvPicPr>
            <xdr:cNvPr id="3" name="インク 2">
              <a:extLst>
                <a:ext uri="{FF2B5EF4-FFF2-40B4-BE49-F238E27FC236}">
                  <a16:creationId xmlns:a16="http://schemas.microsoft.com/office/drawing/2014/main" id="{DC86AD84-140E-4BA9-8A18-155E60E74C3A}"/>
                </a:ext>
              </a:extLst>
            </xdr:cNvPr>
            <xdr:cNvPicPr/>
          </xdr:nvPicPr>
          <xdr:blipFill>
            <a:blip xmlns:r="http://schemas.openxmlformats.org/officeDocument/2006/relationships" r:embed="rId2"/>
            <a:stretch>
              <a:fillRect/>
            </a:stretch>
          </xdr:blipFill>
          <xdr:spPr>
            <a:xfrm>
              <a:off x="1396800" y="965880"/>
              <a:ext cx="18000" cy="18000"/>
            </a:xfrm>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7</xdr:row>
      <xdr:rowOff>223836</xdr:rowOff>
    </xdr:from>
    <xdr:to>
      <xdr:col>7</xdr:col>
      <xdr:colOff>0</xdr:colOff>
      <xdr:row>34</xdr:row>
      <xdr:rowOff>223837</xdr:rowOff>
    </xdr:to>
    <xdr:sp macro="" textlink="">
      <xdr:nvSpPr>
        <xdr:cNvPr id="2" name="正方形/長方形 1">
          <a:extLst>
            <a:ext uri="{FF2B5EF4-FFF2-40B4-BE49-F238E27FC236}">
              <a16:creationId xmlns:a16="http://schemas.microsoft.com/office/drawing/2014/main" id="{00000000-0008-0000-0500-000002000000}"/>
            </a:ext>
          </a:extLst>
        </xdr:cNvPr>
        <xdr:cNvSpPr/>
      </xdr:nvSpPr>
      <xdr:spPr>
        <a:xfrm>
          <a:off x="900113" y="1790699"/>
          <a:ext cx="3429000" cy="6043613"/>
        </a:xfrm>
        <a:prstGeom prst="rect">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ysClr val="windowText" lastClr="000000"/>
              </a:solidFill>
            </a:rPr>
            <a:t>@startuml</a:t>
          </a:r>
        </a:p>
        <a:p>
          <a:pPr algn="l"/>
          <a:r>
            <a:rPr kumimoji="1" lang="en-US" altLang="ja-JP" sz="1100">
              <a:solidFill>
                <a:sysClr val="windowText" lastClr="000000"/>
              </a:solidFill>
            </a:rPr>
            <a:t>CommonChecker o-- SkyChecker</a:t>
          </a:r>
        </a:p>
        <a:p>
          <a:pPr algn="l"/>
          <a:r>
            <a:rPr kumimoji="1" lang="en-US" altLang="ja-JP" sz="1100">
              <a:solidFill>
                <a:sysClr val="windowText" lastClr="000000"/>
              </a:solidFill>
            </a:rPr>
            <a:t>CommonChecker o-- PartnerChecker</a:t>
          </a:r>
        </a:p>
        <a:p>
          <a:pPr algn="l"/>
          <a:endParaRPr kumimoji="1" lang="en-US" altLang="ja-JP" sz="1100">
            <a:solidFill>
              <a:sysClr val="windowText" lastClr="000000"/>
            </a:solidFill>
          </a:endParaRPr>
        </a:p>
        <a:p>
          <a:pPr algn="l"/>
          <a:endParaRPr kumimoji="1" lang="en-US" altLang="ja-JP" sz="1100">
            <a:solidFill>
              <a:sysClr val="windowText" lastClr="000000"/>
            </a:solidFill>
          </a:endParaRPr>
        </a:p>
        <a:p>
          <a:pPr algn="l"/>
          <a:r>
            <a:rPr kumimoji="1" lang="en-US" altLang="ja-JP" sz="1100">
              <a:solidFill>
                <a:sysClr val="windowText" lastClr="000000"/>
              </a:solidFill>
            </a:rPr>
            <a:t>skinparam classAttributeIconSize 0</a:t>
          </a:r>
        </a:p>
        <a:p>
          <a:pPr algn="l"/>
          <a:r>
            <a:rPr kumimoji="1" lang="en-US" altLang="ja-JP" sz="1100">
              <a:solidFill>
                <a:sysClr val="windowText" lastClr="000000"/>
              </a:solidFill>
            </a:rPr>
            <a:t>class CommonChecker {</a:t>
          </a:r>
        </a:p>
        <a:p>
          <a:pPr algn="l"/>
          <a:r>
            <a:rPr kumimoji="1" lang="en-US" altLang="ja-JP" sz="1100">
              <a:solidFill>
                <a:sysClr val="windowText" lastClr="000000"/>
              </a:solidFill>
            </a:rPr>
            <a:t> -String </a:t>
          </a:r>
          <a:r>
            <a:rPr kumimoji="1" lang="ja-JP" altLang="en-US" sz="1100">
              <a:solidFill>
                <a:sysClr val="windowText" lastClr="000000"/>
              </a:solidFill>
            </a:rPr>
            <a:t>氏名</a:t>
          </a:r>
        </a:p>
        <a:p>
          <a:pPr algn="l"/>
          <a:r>
            <a:rPr kumimoji="1" lang="ja-JP" altLang="en-US" sz="1100">
              <a:solidFill>
                <a:sysClr val="windowText" lastClr="000000"/>
              </a:solidFill>
            </a:rPr>
            <a:t> </a:t>
          </a:r>
          <a:r>
            <a:rPr kumimoji="1" lang="en-US" altLang="ja-JP" sz="1100">
              <a:solidFill>
                <a:sysClr val="windowText" lastClr="000000"/>
              </a:solidFill>
            </a:rPr>
            <a:t>-Long </a:t>
          </a:r>
          <a:r>
            <a:rPr kumimoji="1" lang="ja-JP" altLang="en-US" sz="1100">
              <a:solidFill>
                <a:sysClr val="windowText" lastClr="000000"/>
              </a:solidFill>
            </a:rPr>
            <a:t>稼働日</a:t>
          </a:r>
        </a:p>
        <a:p>
          <a:pPr algn="l"/>
          <a:r>
            <a:rPr kumimoji="1" lang="ja-JP" altLang="en-US" sz="1100">
              <a:solidFill>
                <a:sysClr val="windowText" lastClr="000000"/>
              </a:solidFill>
            </a:rPr>
            <a:t> </a:t>
          </a:r>
          <a:r>
            <a:rPr kumimoji="1" lang="en-US" altLang="ja-JP" sz="1100">
              <a:solidFill>
                <a:sysClr val="windowText" lastClr="000000"/>
              </a:solidFill>
            </a:rPr>
            <a:t>-Ranges[] </a:t>
          </a:r>
          <a:r>
            <a:rPr kumimoji="1" lang="ja-JP" altLang="en-US" sz="1100">
              <a:solidFill>
                <a:sysClr val="windowText" lastClr="000000"/>
              </a:solidFill>
            </a:rPr>
            <a:t>出勤データ</a:t>
          </a:r>
        </a:p>
        <a:p>
          <a:pPr algn="l"/>
          <a:r>
            <a:rPr kumimoji="1" lang="ja-JP" altLang="en-US" sz="1100">
              <a:solidFill>
                <a:sysClr val="windowText" lastClr="000000"/>
              </a:solidFill>
            </a:rPr>
            <a:t> </a:t>
          </a:r>
          <a:r>
            <a:rPr kumimoji="1" lang="en-US" altLang="ja-JP" sz="1100">
              <a:solidFill>
                <a:sysClr val="windowText" lastClr="000000"/>
              </a:solidFill>
            </a:rPr>
            <a:t>+Check()</a:t>
          </a:r>
        </a:p>
        <a:p>
          <a:pPr algn="l"/>
          <a:r>
            <a:rPr kumimoji="1" lang="en-US" altLang="ja-JP" sz="1100">
              <a:solidFill>
                <a:sysClr val="windowText" lastClr="000000"/>
              </a:solidFill>
            </a:rPr>
            <a:t>}</a:t>
          </a:r>
        </a:p>
        <a:p>
          <a:pPr algn="l"/>
          <a:r>
            <a:rPr kumimoji="1" lang="en-US" altLang="ja-JP" sz="1100">
              <a:solidFill>
                <a:sysClr val="windowText" lastClr="000000"/>
              </a:solidFill>
            </a:rPr>
            <a:t>note right : VBA</a:t>
          </a:r>
          <a:r>
            <a:rPr kumimoji="1" lang="ja-JP" altLang="en-US" sz="1100">
              <a:solidFill>
                <a:sysClr val="windowText" lastClr="000000"/>
              </a:solidFill>
            </a:rPr>
            <a:t>では新規クラスの継承ができないため</a:t>
          </a:r>
          <a:r>
            <a:rPr kumimoji="1" lang="en-US" altLang="ja-JP" sz="1100">
              <a:solidFill>
                <a:sysClr val="windowText" lastClr="000000"/>
              </a:solidFill>
            </a:rPr>
            <a:t>\n</a:t>
          </a:r>
          <a:r>
            <a:rPr kumimoji="1" lang="ja-JP" altLang="en-US" sz="1100">
              <a:solidFill>
                <a:sysClr val="windowText" lastClr="000000"/>
              </a:solidFill>
            </a:rPr>
            <a:t>集約で擬似的に継承を実現する</a:t>
          </a:r>
        </a:p>
        <a:p>
          <a:pPr algn="l"/>
          <a:endParaRPr kumimoji="1" lang="ja-JP" altLang="en-US" sz="1100">
            <a:solidFill>
              <a:sysClr val="windowText" lastClr="000000"/>
            </a:solidFill>
          </a:endParaRPr>
        </a:p>
        <a:p>
          <a:pPr algn="l"/>
          <a:r>
            <a:rPr kumimoji="1" lang="en-US" altLang="ja-JP" sz="1100">
              <a:solidFill>
                <a:sysClr val="windowText" lastClr="000000"/>
              </a:solidFill>
            </a:rPr>
            <a:t>class PartnerChecker {</a:t>
          </a:r>
        </a:p>
        <a:p>
          <a:pPr algn="l"/>
          <a:r>
            <a:rPr kumimoji="1" lang="en-US" altLang="ja-JP" sz="1100">
              <a:solidFill>
                <a:sysClr val="windowText" lastClr="000000"/>
              </a:solidFill>
            </a:rPr>
            <a:t> -String </a:t>
          </a:r>
          <a:r>
            <a:rPr kumimoji="1" lang="ja-JP" altLang="en-US" sz="1100">
              <a:solidFill>
                <a:sysClr val="windowText" lastClr="000000"/>
              </a:solidFill>
            </a:rPr>
            <a:t>会社名</a:t>
          </a:r>
        </a:p>
        <a:p>
          <a:pPr algn="l"/>
          <a:r>
            <a:rPr kumimoji="1" lang="ja-JP" altLang="en-US" sz="1100">
              <a:solidFill>
                <a:sysClr val="windowText" lastClr="000000"/>
              </a:solidFill>
            </a:rPr>
            <a:t> </a:t>
          </a:r>
          <a:r>
            <a:rPr kumimoji="1" lang="en-US" altLang="ja-JP" sz="1100">
              <a:solidFill>
                <a:sysClr val="windowText" lastClr="000000"/>
              </a:solidFill>
            </a:rPr>
            <a:t>+Check()</a:t>
          </a:r>
        </a:p>
        <a:p>
          <a:pPr algn="l"/>
          <a:r>
            <a:rPr kumimoji="1" lang="en-US" altLang="ja-JP" sz="1100">
              <a:solidFill>
                <a:sysClr val="windowText" lastClr="000000"/>
              </a:solidFill>
            </a:rPr>
            <a:t>}</a:t>
          </a:r>
        </a:p>
        <a:p>
          <a:pPr algn="l"/>
          <a:endParaRPr kumimoji="1" lang="en-US" altLang="ja-JP" sz="1100">
            <a:solidFill>
              <a:sysClr val="windowText" lastClr="000000"/>
            </a:solidFill>
          </a:endParaRPr>
        </a:p>
        <a:p>
          <a:pPr algn="l"/>
          <a:r>
            <a:rPr kumimoji="1" lang="en-US" altLang="ja-JP" sz="1100">
              <a:solidFill>
                <a:sysClr val="windowText" lastClr="000000"/>
              </a:solidFill>
            </a:rPr>
            <a:t>class SkyChecker {</a:t>
          </a:r>
        </a:p>
        <a:p>
          <a:pPr algn="l"/>
          <a:r>
            <a:rPr kumimoji="1" lang="en-US" altLang="ja-JP" sz="1100">
              <a:solidFill>
                <a:sysClr val="windowText" lastClr="000000"/>
              </a:solidFill>
            </a:rPr>
            <a:t> -String </a:t>
          </a:r>
          <a:r>
            <a:rPr kumimoji="1" lang="ja-JP" altLang="en-US" sz="1100">
              <a:solidFill>
                <a:sysClr val="windowText" lastClr="000000"/>
              </a:solidFill>
            </a:rPr>
            <a:t>役職</a:t>
          </a:r>
        </a:p>
        <a:p>
          <a:pPr algn="l"/>
          <a:r>
            <a:rPr kumimoji="1" lang="ja-JP" altLang="en-US" sz="1100">
              <a:solidFill>
                <a:sysClr val="windowText" lastClr="000000"/>
              </a:solidFill>
            </a:rPr>
            <a:t> </a:t>
          </a:r>
          <a:r>
            <a:rPr kumimoji="1" lang="en-US" altLang="ja-JP" sz="1100">
              <a:solidFill>
                <a:sysClr val="windowText" lastClr="000000"/>
              </a:solidFill>
            </a:rPr>
            <a:t>+Check()</a:t>
          </a:r>
        </a:p>
        <a:p>
          <a:pPr algn="l"/>
          <a:r>
            <a:rPr kumimoji="1" lang="en-US" altLang="ja-JP" sz="1100">
              <a:solidFill>
                <a:sysClr val="windowText" lastClr="000000"/>
              </a:solidFill>
            </a:rPr>
            <a:t> -Check</a:t>
          </a:r>
          <a:r>
            <a:rPr kumimoji="1" lang="ja-JP" altLang="en-US" sz="1100">
              <a:solidFill>
                <a:sysClr val="windowText" lastClr="000000"/>
              </a:solidFill>
            </a:rPr>
            <a:t>目標結果面談</a:t>
          </a:r>
          <a:r>
            <a:rPr kumimoji="1" lang="en-US" altLang="ja-JP" sz="1100">
              <a:solidFill>
                <a:sysClr val="windowText" lastClr="000000"/>
              </a:solidFill>
            </a:rPr>
            <a:t>()</a:t>
          </a:r>
        </a:p>
        <a:p>
          <a:pPr algn="l"/>
          <a:r>
            <a:rPr kumimoji="1" lang="en-US" altLang="ja-JP" sz="1100">
              <a:solidFill>
                <a:sysClr val="windowText" lastClr="000000"/>
              </a:solidFill>
            </a:rPr>
            <a:t> -Check</a:t>
          </a:r>
          <a:r>
            <a:rPr kumimoji="1" lang="ja-JP" altLang="en-US" sz="1100">
              <a:solidFill>
                <a:sysClr val="windowText" lastClr="000000"/>
              </a:solidFill>
            </a:rPr>
            <a:t>テレワーク</a:t>
          </a:r>
          <a:r>
            <a:rPr kumimoji="1" lang="en-US" altLang="ja-JP" sz="1100">
              <a:solidFill>
                <a:sysClr val="windowText" lastClr="000000"/>
              </a:solidFill>
            </a:rPr>
            <a:t>()</a:t>
          </a:r>
        </a:p>
        <a:p>
          <a:pPr algn="l"/>
          <a:r>
            <a:rPr kumimoji="1" lang="en-US" altLang="ja-JP" sz="1100">
              <a:solidFill>
                <a:sysClr val="windowText" lastClr="000000"/>
              </a:solidFill>
            </a:rPr>
            <a:t> -Check</a:t>
          </a:r>
          <a:r>
            <a:rPr kumimoji="1" lang="ja-JP" altLang="en-US" sz="1100">
              <a:solidFill>
                <a:sysClr val="windowText" lastClr="000000"/>
              </a:solidFill>
            </a:rPr>
            <a:t>遅刻理由</a:t>
          </a:r>
          <a:r>
            <a:rPr kumimoji="1" lang="en-US" altLang="ja-JP" sz="1100">
              <a:solidFill>
                <a:sysClr val="windowText" lastClr="000000"/>
              </a:solidFill>
            </a:rPr>
            <a:t>()</a:t>
          </a:r>
        </a:p>
        <a:p>
          <a:pPr algn="l"/>
          <a:r>
            <a:rPr kumimoji="1" lang="en-US" altLang="ja-JP" sz="1100">
              <a:solidFill>
                <a:sysClr val="windowText" lastClr="000000"/>
              </a:solidFill>
            </a:rPr>
            <a:t>}</a:t>
          </a:r>
        </a:p>
        <a:p>
          <a:pPr algn="l"/>
          <a:r>
            <a:rPr kumimoji="1" lang="en-US" altLang="ja-JP" sz="1100">
              <a:solidFill>
                <a:sysClr val="windowText" lastClr="000000"/>
              </a:solidFill>
            </a:rPr>
            <a:t>@enduml</a:t>
          </a:r>
          <a:endParaRPr kumimoji="1" lang="ja-JP" altLang="en-US" sz="1100">
            <a:solidFill>
              <a:sysClr val="windowText" lastClr="000000"/>
            </a:solidFill>
          </a:endParaRPr>
        </a:p>
      </xdr:txBody>
    </xdr:sp>
    <xdr:clientData/>
  </xdr:twoCellAnchor>
  <xdr:twoCellAnchor editAs="oneCell">
    <xdr:from>
      <xdr:col>8</xdr:col>
      <xdr:colOff>0</xdr:colOff>
      <xdr:row>8</xdr:row>
      <xdr:rowOff>0</xdr:rowOff>
    </xdr:from>
    <xdr:to>
      <xdr:col>15</xdr:col>
      <xdr:colOff>209550</xdr:colOff>
      <xdr:row>22</xdr:row>
      <xdr:rowOff>104775</xdr:rowOff>
    </xdr:to>
    <xdr:pic>
      <xdr:nvPicPr>
        <xdr:cNvPr id="7" name="図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014913" y="1790700"/>
          <a:ext cx="5010150" cy="2771775"/>
        </a:xfrm>
        <a:prstGeom prst="rect">
          <a:avLst/>
        </a:prstGeom>
      </xdr:spPr>
    </xdr:pic>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0-10-05T12:47:48.057"/>
    </inkml:context>
    <inkml:brush xml:id="br0">
      <inkml:brushProperty name="width" value="0.05" units="cm"/>
      <inkml:brushProperty name="height" value="0.05" units="cm"/>
      <inkml:brushProperty name="ignorePressure" value="1"/>
    </inkml:brush>
  </inkml:definitions>
  <inkml:trace contextRef="#ctx0" brushRef="#br0">0 1</inkml:trace>
</inkm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8" dT="2020-10-03T09:47:47.15" personId="{00000000-0000-0000-0000-000000000000}" id="{243FC832-F464-4512-ACA0-0AEFFB6A8E12}">
    <text>ファイルの破損を防ぐため、バックアップ先に対してファイル操作を行う。
※バックアップ先はローカル推奨</text>
  </threadedComment>
  <threadedComment ref="D8" dT="2020-10-03T18:35:28.31" personId="{00000000-0000-0000-0000-000000000000}" id="{2A7FB3F8-5E04-42A7-9CC4-F3FEEBA49396}" parentId="{243FC832-F464-4512-ACA0-0AEFFB6A8E12}">
    <text>未入力の場合は対象フォルダと同階層にフォルダーを追加する。「backup_(日付)」</text>
  </threadedComment>
  <threadedComment ref="D51" dT="2020-10-06T16:21:07.74" personId="{00000000-0000-0000-0000-000000000000}" id="{374590E6-38B2-415D-BA9C-43CE6A65CBC4}">
    <text>空白行はFALSEとして扱う</text>
  </threadedComment>
  <threadedComment ref="M51" dT="2020-10-06T16:19:26.29" personId="{00000000-0000-0000-0000-000000000000}" id="{74460AA6-9D9E-4D6D-A36F-57CF2066B4E7}">
    <text>なんのために入力禁止欄を設けているのか。私は知らない。</text>
  </threadedComment>
  <threadedComment ref="D61" dT="2020-10-06T16:21:07.74" personId="{00000000-0000-0000-0000-000000000000}" id="{836F79C5-76DD-48B6-8594-8C1B7F830EF4}">
    <text>空白行はFALSEとして扱う</text>
  </threadedComment>
</ThreadedComments>
</file>

<file path=xl/threadedComments/threadedComment2.xml><?xml version="1.0" encoding="utf-8"?>
<ThreadedComments xmlns="http://schemas.microsoft.com/office/spreadsheetml/2018/threadedcomments" xmlns:x="http://schemas.openxmlformats.org/spreadsheetml/2006/main">
  <threadedComment ref="C13" dT="2020-10-03T10:00:38.56" personId="{00000000-0000-0000-0000-000000000000}" id="{3F43D754-D347-49F2-A155-DDE26D4A85A5}">
    <text>過去のスケジュールは定期的に削除しないとチェック実行が遅くなる</text>
  </threadedComment>
  <threadedComment ref="C13" dT="2020-10-03T13:53:13.19" personId="{00000000-0000-0000-0000-000000000000}" id="{32E2C2DF-AEED-4768-8C59-5903B41EBD5A}" parentId="{3F43D754-D347-49F2-A155-DDE26D4A85A5}">
    <text>重複(例えば国民の祝日でSky式典日)しているときは下に書かれたほうが有効</text>
  </threadedComment>
  <threadedComment ref="F14" dT="2020-10-06T16:09:16.44" personId="{00000000-0000-0000-0000-000000000000}" id="{8462F406-A930-4D96-95BA-4674B83D5D80}">
    <text>ロジックが汚くなるので未入力の場合の挙動はつくらない。私は。</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hyperlink" Target="https://www8.cao.go.jp/chosei/shukujitsu/gaiyou.html" TargetMode="External"/><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6.bin"/><Relationship Id="rId1" Type="http://schemas.openxmlformats.org/officeDocument/2006/relationships/hyperlink" Target="http://www.plantuml.com/plantuml/u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G21"/>
  <sheetViews>
    <sheetView workbookViewId="0">
      <selection activeCell="D27" sqref="D27"/>
    </sheetView>
  </sheetViews>
  <sheetFormatPr defaultRowHeight="17.649999999999999"/>
  <cols>
    <col min="1" max="2" width="3.0625" customWidth="1"/>
    <col min="3" max="3" width="7.375" style="2" bestFit="1" customWidth="1"/>
    <col min="4" max="4" width="45.5625" customWidth="1"/>
    <col min="5" max="5" width="10.8125" style="1" bestFit="1" customWidth="1"/>
    <col min="6" max="6" width="11.75" bestFit="1" customWidth="1"/>
    <col min="7" max="7" width="3.0625" customWidth="1"/>
  </cols>
  <sheetData>
    <row r="2" spans="2:7">
      <c r="B2" s="3"/>
      <c r="C2" s="4" t="s">
        <v>44</v>
      </c>
      <c r="D2" s="3" t="s">
        <v>42</v>
      </c>
      <c r="E2" s="5" t="s">
        <v>25</v>
      </c>
      <c r="F2" s="3" t="s">
        <v>43</v>
      </c>
      <c r="G2" s="3"/>
    </row>
    <row r="3" spans="2:7">
      <c r="C3" s="2">
        <v>0.01</v>
      </c>
      <c r="D3" t="s">
        <v>53</v>
      </c>
      <c r="E3" s="6">
        <v>43466</v>
      </c>
      <c r="F3" t="s">
        <v>51</v>
      </c>
    </row>
    <row r="4" spans="2:7">
      <c r="C4" s="2">
        <v>1</v>
      </c>
      <c r="D4" t="s">
        <v>52</v>
      </c>
      <c r="E4" s="1">
        <v>44109</v>
      </c>
      <c r="F4" t="s">
        <v>51</v>
      </c>
    </row>
    <row r="21" spans="2:7">
      <c r="B21" s="3"/>
      <c r="C21" s="4"/>
      <c r="D21" s="3"/>
      <c r="E21" s="5"/>
      <c r="F21" s="3"/>
      <c r="G21" s="3"/>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ECD4A-34AE-4F21-B4E6-8C8940619E3E}">
  <sheetPr codeName="Sheet6"/>
  <dimension ref="B2"/>
  <sheetViews>
    <sheetView workbookViewId="0">
      <selection activeCell="B28" sqref="B28"/>
    </sheetView>
  </sheetViews>
  <sheetFormatPr defaultRowHeight="17.649999999999999"/>
  <sheetData>
    <row r="2" spans="2:2">
      <c r="B2" t="s">
        <v>62</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92F5F0-902D-4691-8BB4-E134CE655FE2}">
  <sheetPr codeName="Sheet3">
    <outlinePr summaryBelow="0" summaryRight="0"/>
  </sheetPr>
  <dimension ref="B5:N67"/>
  <sheetViews>
    <sheetView zoomScale="85" zoomScaleNormal="85" workbookViewId="0">
      <pane ySplit="3" topLeftCell="A22" activePane="bottomLeft" state="frozen"/>
      <selection pane="bottomLeft" activeCell="E33" sqref="E33"/>
    </sheetView>
  </sheetViews>
  <sheetFormatPr defaultRowHeight="15" outlineLevelRow="1"/>
  <cols>
    <col min="1" max="2" width="3.125" style="7" customWidth="1"/>
    <col min="3" max="3" width="2.8125" style="7" customWidth="1"/>
    <col min="4" max="4" width="9.5625" style="7" customWidth="1"/>
    <col min="5" max="5" width="9.0625" style="7" customWidth="1"/>
    <col min="6" max="6" width="20.625" style="7" customWidth="1"/>
    <col min="7" max="7" width="12.5625" style="7" customWidth="1"/>
    <col min="8" max="9" width="9" style="7"/>
    <col min="10" max="10" width="8.9375" style="7" customWidth="1"/>
    <col min="11" max="12" width="9" style="7"/>
    <col min="13" max="13" width="9.0625" style="7" customWidth="1"/>
    <col min="14" max="14" width="9" style="7" customWidth="1"/>
    <col min="15" max="16384" width="9" style="7"/>
  </cols>
  <sheetData>
    <row r="5" spans="2:14" ht="16.899999999999999" customHeight="1">
      <c r="B5" s="26" t="s">
        <v>77</v>
      </c>
    </row>
    <row r="6" spans="2:14" outlineLevel="1">
      <c r="C6" s="7" t="s">
        <v>85</v>
      </c>
    </row>
    <row r="7" spans="2:14" ht="17.649999999999999" outlineLevel="1">
      <c r="C7" s="45" t="str">
        <f>HYPERLINK(チェック対象フォルダ,"▶")</f>
        <v>▶</v>
      </c>
      <c r="D7" s="9" t="s">
        <v>60</v>
      </c>
      <c r="E7" s="10"/>
      <c r="F7" s="44"/>
      <c r="G7" s="14" t="s">
        <v>98</v>
      </c>
      <c r="H7" s="14"/>
      <c r="I7" s="14"/>
      <c r="J7" s="14"/>
      <c r="K7" s="14"/>
      <c r="L7" s="14"/>
      <c r="M7" s="41"/>
      <c r="N7" s="42"/>
    </row>
    <row r="8" spans="2:14" ht="17.649999999999999" outlineLevel="1">
      <c r="C8" s="45" t="str">
        <f>HYPERLINK(チェック対象フォルダ,"▶")</f>
        <v>▶</v>
      </c>
      <c r="D8" s="9" t="s">
        <v>36</v>
      </c>
      <c r="E8" s="10"/>
      <c r="F8" s="11"/>
      <c r="G8" s="13" t="str">
        <f ca="1">チェック対象フォルダ&amp;"\"&amp;チェック対象年&amp;TEXT(チェック対象月,"00")&amp;TEXT(DAY(TODAY()),"00")&amp;"_"&amp;TEXT(HOUR(NOW()),"00")&amp;TEXT(MINUTE(NOW()),"00")</f>
        <v>C:\Users\mishi\Documents\Workspace\BusinessTools\003_Excel\勤務表チェックマクロ\20201010_1457</v>
      </c>
      <c r="H8" s="14"/>
      <c r="I8" s="14"/>
      <c r="J8" s="14"/>
      <c r="K8" s="14"/>
      <c r="L8" s="14"/>
      <c r="M8" s="15"/>
    </row>
    <row r="9" spans="2:14" outlineLevel="1"/>
    <row r="10" spans="2:14" outlineLevel="1">
      <c r="D10" s="9" t="s">
        <v>35</v>
      </c>
      <c r="E10" s="10"/>
      <c r="F10" s="11"/>
      <c r="G10" s="17">
        <f ca="1">YEAR(TODAY())</f>
        <v>2020</v>
      </c>
    </row>
    <row r="11" spans="2:14" outlineLevel="1">
      <c r="D11" s="9" t="s">
        <v>37</v>
      </c>
      <c r="E11" s="10"/>
      <c r="F11" s="11"/>
      <c r="G11" s="17">
        <f ca="1">MONTH(TODAY())</f>
        <v>10</v>
      </c>
    </row>
    <row r="12" spans="2:14" outlineLevel="1">
      <c r="G12" s="20"/>
    </row>
    <row r="13" spans="2:14" outlineLevel="1">
      <c r="C13" s="7" t="s">
        <v>65</v>
      </c>
    </row>
    <row r="14" spans="2:14" outlineLevel="1">
      <c r="D14" s="9" t="s">
        <v>63</v>
      </c>
      <c r="E14" s="10"/>
      <c r="F14" s="11"/>
      <c r="G14" s="18">
        <v>0.375</v>
      </c>
    </row>
    <row r="15" spans="2:14" outlineLevel="1">
      <c r="D15" s="9" t="s">
        <v>64</v>
      </c>
      <c r="E15" s="10"/>
      <c r="F15" s="11"/>
      <c r="G15" s="18">
        <v>0.72916666666666663</v>
      </c>
    </row>
    <row r="16" spans="2:14" outlineLevel="1">
      <c r="D16" s="9" t="s">
        <v>40</v>
      </c>
      <c r="E16" s="10"/>
      <c r="F16" s="11"/>
      <c r="G16" s="18">
        <v>3.125E-2</v>
      </c>
    </row>
    <row r="17" spans="2:13" outlineLevel="1">
      <c r="D17" s="9" t="s">
        <v>41</v>
      </c>
      <c r="E17" s="10"/>
      <c r="F17" s="11"/>
      <c r="G17" s="18">
        <v>2.0833333333333332E-2</v>
      </c>
    </row>
    <row r="18" spans="2:13" outlineLevel="1">
      <c r="D18" s="9" t="s">
        <v>46</v>
      </c>
      <c r="E18" s="10"/>
      <c r="F18" s="11"/>
      <c r="G18" s="19" t="s">
        <v>47</v>
      </c>
    </row>
    <row r="19" spans="2:13" outlineLevel="1">
      <c r="G19" s="21"/>
    </row>
    <row r="20" spans="2:13">
      <c r="G20" s="21"/>
    </row>
    <row r="21" spans="2:13">
      <c r="B21" s="26" t="s">
        <v>78</v>
      </c>
    </row>
    <row r="22" spans="2:13" outlineLevel="1"/>
    <row r="23" spans="2:13" outlineLevel="1">
      <c r="C23" s="7" t="s">
        <v>66</v>
      </c>
      <c r="G23" s="8"/>
    </row>
    <row r="24" spans="2:13" outlineLevel="1">
      <c r="D24" s="9" t="s">
        <v>61</v>
      </c>
      <c r="E24" s="10"/>
      <c r="F24" s="11"/>
      <c r="G24" s="18" t="b">
        <v>1</v>
      </c>
    </row>
    <row r="25" spans="2:13" ht="17.649999999999999" outlineLevel="1">
      <c r="C25" s="45" t="str">
        <f>HYPERLINK(チェック対象フォルダ,"▶")</f>
        <v>▶</v>
      </c>
      <c r="D25" s="16" t="s">
        <v>74</v>
      </c>
      <c r="E25" s="10"/>
      <c r="F25" s="11"/>
      <c r="G25" s="13" t="str">
        <f ca="1">バックアップ先</f>
        <v>C:\Users\mishi\Documents\Workspace\BusinessTools\003_Excel\勤務表チェックマクロ\20201010_1457</v>
      </c>
      <c r="H25" s="14"/>
      <c r="I25" s="14"/>
      <c r="J25" s="14"/>
      <c r="K25" s="14"/>
      <c r="L25" s="14"/>
      <c r="M25" s="15"/>
    </row>
    <row r="26" spans="2:13" outlineLevel="1">
      <c r="D26" s="9" t="s">
        <v>108</v>
      </c>
      <c r="E26" s="10"/>
      <c r="F26" s="11"/>
      <c r="G26" s="13" t="s">
        <v>109</v>
      </c>
      <c r="H26" s="14"/>
      <c r="I26" s="14"/>
      <c r="J26" s="14"/>
      <c r="K26" s="14"/>
      <c r="L26" s="14"/>
      <c r="M26" s="15"/>
    </row>
    <row r="27" spans="2:13" outlineLevel="1">
      <c r="G27" s="8"/>
    </row>
    <row r="28" spans="2:13" outlineLevel="1">
      <c r="D28" s="9" t="s">
        <v>72</v>
      </c>
      <c r="E28" s="10"/>
      <c r="F28" s="11"/>
      <c r="G28" s="18" t="b">
        <v>1</v>
      </c>
    </row>
    <row r="29" spans="2:13" outlineLevel="1">
      <c r="D29" s="23"/>
      <c r="E29" s="10" t="s">
        <v>48</v>
      </c>
      <c r="F29" s="11"/>
      <c r="G29" s="18" t="b">
        <v>1</v>
      </c>
    </row>
    <row r="30" spans="2:13" outlineLevel="1">
      <c r="D30" s="24" t="s">
        <v>75</v>
      </c>
      <c r="E30" s="10" t="s">
        <v>49</v>
      </c>
      <c r="F30" s="11"/>
      <c r="G30" s="18" t="b">
        <v>1</v>
      </c>
    </row>
    <row r="31" spans="2:13" outlineLevel="1">
      <c r="D31" s="25"/>
      <c r="E31" s="10" t="s">
        <v>50</v>
      </c>
      <c r="F31" s="11"/>
      <c r="G31" s="18" t="b">
        <v>0</v>
      </c>
    </row>
    <row r="32" spans="2:13" outlineLevel="1">
      <c r="D32" s="23"/>
      <c r="E32" s="9" t="s">
        <v>48</v>
      </c>
      <c r="F32" s="11"/>
      <c r="G32" s="18" t="b">
        <v>1</v>
      </c>
    </row>
    <row r="33" spans="2:13" outlineLevel="1">
      <c r="D33" s="24" t="s">
        <v>76</v>
      </c>
      <c r="E33" s="9" t="s">
        <v>49</v>
      </c>
      <c r="F33" s="11"/>
      <c r="G33" s="18" t="b">
        <v>1</v>
      </c>
    </row>
    <row r="34" spans="2:13" outlineLevel="1">
      <c r="D34" s="25"/>
      <c r="E34" s="9" t="s">
        <v>50</v>
      </c>
      <c r="F34" s="11"/>
      <c r="G34" s="18" t="b">
        <v>0</v>
      </c>
    </row>
    <row r="35" spans="2:13" outlineLevel="1">
      <c r="G35" s="22"/>
    </row>
    <row r="36" spans="2:13" outlineLevel="1">
      <c r="D36" s="9" t="s">
        <v>73</v>
      </c>
      <c r="E36" s="10"/>
      <c r="F36" s="11"/>
      <c r="G36" s="18" t="b">
        <v>1</v>
      </c>
    </row>
    <row r="37" spans="2:13" outlineLevel="1"/>
    <row r="38" spans="2:13" outlineLevel="1"/>
    <row r="39" spans="2:13" outlineLevel="1">
      <c r="C39" s="7" t="s">
        <v>103</v>
      </c>
    </row>
    <row r="40" spans="2:13" outlineLevel="1">
      <c r="D40" s="9" t="s">
        <v>104</v>
      </c>
      <c r="E40" s="10"/>
      <c r="F40" s="11"/>
      <c r="G40" s="43">
        <v>0</v>
      </c>
      <c r="H40" s="7" t="s">
        <v>111</v>
      </c>
    </row>
    <row r="41" spans="2:13" outlineLevel="1"/>
    <row r="42" spans="2:13" outlineLevel="1">
      <c r="D42" s="9" t="s">
        <v>105</v>
      </c>
      <c r="E42" s="10"/>
      <c r="F42" s="11"/>
      <c r="G42" s="18" t="b">
        <v>1</v>
      </c>
    </row>
    <row r="43" spans="2:13" ht="17.649999999999999" outlineLevel="1">
      <c r="C43" s="45" t="str">
        <f>HYPERLINK(チェック対象フォルダ,"▶")</f>
        <v>▶</v>
      </c>
      <c r="D43" s="16" t="s">
        <v>106</v>
      </c>
      <c r="E43" s="10"/>
      <c r="F43" s="11"/>
      <c r="G43" s="13" t="str">
        <f ca="1">バックアップ先</f>
        <v>C:\Users\mishi\Documents\Workspace\BusinessTools\003_Excel\勤務表チェックマクロ\20201010_1457</v>
      </c>
      <c r="H43" s="14"/>
      <c r="I43" s="14"/>
      <c r="J43" s="14"/>
      <c r="K43" s="14"/>
      <c r="L43" s="14"/>
      <c r="M43" s="15"/>
    </row>
    <row r="44" spans="2:13" outlineLevel="1">
      <c r="D44" s="16" t="s">
        <v>107</v>
      </c>
      <c r="E44" s="10"/>
      <c r="F44" s="11"/>
      <c r="G44" s="13" t="s">
        <v>110</v>
      </c>
      <c r="H44" s="14"/>
      <c r="I44" s="14"/>
      <c r="J44" s="14"/>
      <c r="K44" s="14"/>
      <c r="L44" s="14"/>
      <c r="M44" s="15"/>
    </row>
    <row r="45" spans="2:13" outlineLevel="1"/>
    <row r="46" spans="2:13" outlineLevel="1"/>
    <row r="48" spans="2:13">
      <c r="B48" s="26" t="s">
        <v>97</v>
      </c>
    </row>
    <row r="49" spans="2:14">
      <c r="B49" s="26"/>
    </row>
    <row r="50" spans="2:14">
      <c r="C50" s="7" t="s">
        <v>24</v>
      </c>
      <c r="D50" s="7" t="s">
        <v>39</v>
      </c>
    </row>
    <row r="51" spans="2:14">
      <c r="D51" s="27" t="s">
        <v>79</v>
      </c>
      <c r="E51" s="27" t="s">
        <v>68</v>
      </c>
      <c r="F51" s="27" t="s">
        <v>67</v>
      </c>
      <c r="G51" s="27" t="s">
        <v>80</v>
      </c>
      <c r="H51" s="27" t="s">
        <v>81</v>
      </c>
      <c r="I51" s="27" t="s">
        <v>82</v>
      </c>
      <c r="J51" s="27"/>
      <c r="K51" s="27"/>
      <c r="L51" s="27"/>
      <c r="M51" s="27" t="s">
        <v>83</v>
      </c>
      <c r="N51" s="27" t="s">
        <v>84</v>
      </c>
    </row>
    <row r="52" spans="2:14">
      <c r="D52" s="17" t="b">
        <v>1</v>
      </c>
      <c r="E52" s="17" t="s">
        <v>92</v>
      </c>
      <c r="F52" s="17" t="s">
        <v>69</v>
      </c>
      <c r="G52" s="17"/>
      <c r="H52" s="17"/>
      <c r="I52" s="17"/>
      <c r="J52" s="17"/>
      <c r="K52" s="17"/>
      <c r="L52" s="17"/>
      <c r="M52" s="39"/>
      <c r="N52" s="38" t="str">
        <f ca="1">_xlfn.CONCAT(チェック対象年,TEXT(チェック対象月,0),"- ",E52," ",F52, " MSE品川.xlsm")</f>
        <v>202010- S1111 青空太郎 MSE品川.xlsm</v>
      </c>
    </row>
    <row r="53" spans="2:14">
      <c r="D53" s="17" t="b">
        <v>1</v>
      </c>
      <c r="E53" s="17" t="s">
        <v>93</v>
      </c>
      <c r="F53" s="17" t="s">
        <v>70</v>
      </c>
      <c r="G53" s="17"/>
      <c r="H53" s="17"/>
      <c r="I53" s="17"/>
      <c r="J53" s="17"/>
      <c r="K53" s="17"/>
      <c r="L53" s="17"/>
      <c r="M53" s="39"/>
      <c r="N53" s="38" t="str">
        <f ca="1">_xlfn.CONCAT(チェック対象年,TEXT(チェック対象月,0),"- ",E53," ",F53, " MSE品川.xlsm")</f>
        <v>202010- S2222 青空花子 MSE品川.xlsm</v>
      </c>
    </row>
    <row r="54" spans="2:14">
      <c r="D54" s="17" t="b">
        <v>1</v>
      </c>
      <c r="E54" s="17" t="s">
        <v>94</v>
      </c>
      <c r="F54" s="17" t="s">
        <v>71</v>
      </c>
      <c r="G54" s="17"/>
      <c r="H54" s="17"/>
      <c r="I54" s="17"/>
      <c r="J54" s="17"/>
      <c r="K54" s="17"/>
      <c r="L54" s="17"/>
      <c r="M54" s="39"/>
      <c r="N54" s="38" t="str">
        <f ca="1">_xlfn.CONCAT(チェック対象年,TEXT(チェック対象月,0),"- ",E54," ",F54, " MSE品川.xlsm")</f>
        <v>202010- S3333 青空敏郎 MSE品川.xlsm</v>
      </c>
    </row>
    <row r="55" spans="2:14">
      <c r="D55" s="17"/>
      <c r="E55" s="17"/>
      <c r="F55" s="17"/>
      <c r="G55" s="17"/>
      <c r="H55" s="17"/>
      <c r="I55" s="17"/>
      <c r="J55" s="17"/>
      <c r="K55" s="17"/>
      <c r="L55" s="17"/>
      <c r="M55" s="39"/>
      <c r="N55" s="38" t="str">
        <f ca="1">_xlfn.CONCAT(チェック対象年,TEXT(チェック対象月,0),"- ",E55," ",F55, " MSE品川.xlsm")</f>
        <v>202010-   MSE品川.xlsm</v>
      </c>
    </row>
    <row r="56" spans="2:14">
      <c r="D56" s="17"/>
      <c r="E56" s="17"/>
      <c r="F56" s="17"/>
      <c r="G56" s="17"/>
      <c r="H56" s="17"/>
      <c r="I56" s="17"/>
      <c r="J56" s="17"/>
      <c r="K56" s="17"/>
      <c r="L56" s="17"/>
      <c r="M56" s="39"/>
      <c r="N56" s="38" t="str">
        <f ca="1">_xlfn.CONCAT(チェック対象年,TEXT(チェック対象月,0),"- ",E56," ",F56, " MSE品川.xlsm")</f>
        <v>202010-   MSE品川.xlsm</v>
      </c>
    </row>
    <row r="57" spans="2:14">
      <c r="D57" s="27" t="s">
        <v>96</v>
      </c>
      <c r="E57" s="27"/>
      <c r="F57" s="27"/>
      <c r="G57" s="27"/>
      <c r="H57" s="27"/>
      <c r="I57" s="27"/>
      <c r="J57" s="27"/>
      <c r="K57" s="27"/>
      <c r="L57" s="27"/>
      <c r="M57" s="27"/>
      <c r="N57" s="27"/>
    </row>
    <row r="60" spans="2:14">
      <c r="C60" s="7" t="s">
        <v>24</v>
      </c>
      <c r="D60" s="7" t="s">
        <v>38</v>
      </c>
    </row>
    <row r="61" spans="2:14">
      <c r="D61" s="27" t="s">
        <v>79</v>
      </c>
      <c r="E61" s="27" t="s">
        <v>68</v>
      </c>
      <c r="F61" s="27" t="s">
        <v>67</v>
      </c>
      <c r="G61" s="27" t="s">
        <v>90</v>
      </c>
      <c r="H61" s="27" t="s">
        <v>81</v>
      </c>
      <c r="I61" s="27" t="s">
        <v>82</v>
      </c>
      <c r="J61" s="27"/>
      <c r="K61" s="27"/>
      <c r="L61" s="27"/>
      <c r="M61" s="27" t="s">
        <v>83</v>
      </c>
      <c r="N61" s="27" t="s">
        <v>84</v>
      </c>
    </row>
    <row r="62" spans="2:14">
      <c r="D62" s="17" t="b">
        <v>1</v>
      </c>
      <c r="E62" s="17" t="s">
        <v>91</v>
      </c>
      <c r="F62" s="17" t="s">
        <v>95</v>
      </c>
      <c r="G62" s="17"/>
      <c r="H62" s="17"/>
      <c r="I62" s="17"/>
      <c r="J62" s="17"/>
      <c r="K62" s="17"/>
      <c r="L62" s="12"/>
      <c r="M62" s="39"/>
      <c r="N62" s="40" t="str">
        <f ca="1">_xlfn.CONCAT(チェック対象年,TEXT(チェック対象月,0),"- ",E62," ",F62, " MSE品川.xlsm")</f>
        <v>202010- PE10000 山田太郎 MSE品川.xlsm</v>
      </c>
    </row>
    <row r="63" spans="2:14">
      <c r="D63" s="17"/>
      <c r="E63" s="17"/>
      <c r="F63" s="17"/>
      <c r="G63" s="17"/>
      <c r="H63" s="17"/>
      <c r="I63" s="17"/>
      <c r="J63" s="17"/>
      <c r="K63" s="17"/>
      <c r="L63" s="12"/>
      <c r="M63" s="39"/>
      <c r="N63" s="40" t="str">
        <f ca="1">_xlfn.CONCAT(チェック対象年,TEXT(チェック対象月,0),"- ",E63," ",F63, " MSE品川.xlsm")</f>
        <v>202010-   MSE品川.xlsm</v>
      </c>
    </row>
    <row r="64" spans="2:14">
      <c r="D64" s="17"/>
      <c r="E64" s="17"/>
      <c r="F64" s="17"/>
      <c r="G64" s="17"/>
      <c r="H64" s="17"/>
      <c r="I64" s="17"/>
      <c r="J64" s="17"/>
      <c r="K64" s="17"/>
      <c r="L64" s="12"/>
      <c r="M64" s="39"/>
      <c r="N64" s="40" t="str">
        <f ca="1">_xlfn.CONCAT(チェック対象年,TEXT(チェック対象月,0),"- ",E64," ",F64, " MSE品川.xlsm")</f>
        <v>202010-   MSE品川.xlsm</v>
      </c>
    </row>
    <row r="65" spans="4:14">
      <c r="D65" s="17"/>
      <c r="E65" s="17"/>
      <c r="F65" s="17"/>
      <c r="G65" s="17"/>
      <c r="H65" s="17"/>
      <c r="I65" s="17"/>
      <c r="J65" s="17"/>
      <c r="K65" s="17"/>
      <c r="L65" s="12"/>
      <c r="M65" s="39"/>
      <c r="N65" s="40" t="str">
        <f ca="1">_xlfn.CONCAT(チェック対象年,TEXT(チェック対象月,0),"- ",E65," ",F65, " MSE品川.xlsm")</f>
        <v>202010-   MSE品川.xlsm</v>
      </c>
    </row>
    <row r="66" spans="4:14">
      <c r="D66" s="17"/>
      <c r="E66" s="17"/>
      <c r="F66" s="17"/>
      <c r="G66" s="17"/>
      <c r="H66" s="17"/>
      <c r="I66" s="17"/>
      <c r="J66" s="17"/>
      <c r="K66" s="17"/>
      <c r="L66" s="12"/>
      <c r="M66" s="39"/>
      <c r="N66" s="40" t="str">
        <f ca="1">_xlfn.CONCAT(チェック対象年,TEXT(チェック対象月,0),"- ",E66," ",F66, " MSE品川.xlsm")</f>
        <v>202010-   MSE品川.xlsm</v>
      </c>
    </row>
    <row r="67" spans="4:14">
      <c r="D67" s="27" t="s">
        <v>96</v>
      </c>
      <c r="E67" s="27"/>
      <c r="F67" s="27"/>
      <c r="G67" s="27"/>
      <c r="H67" s="27"/>
      <c r="I67" s="27"/>
      <c r="J67" s="27"/>
      <c r="K67" s="27"/>
      <c r="L67" s="27"/>
      <c r="M67" s="27"/>
      <c r="N67" s="27"/>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8" r:id="rId4" name="Button 6">
              <controlPr defaultSize="0" print="0" autoFill="0" autoPict="0" macro="[0]!ButtonCheckSky">
                <anchor moveWithCells="1" sizeWithCells="1">
                  <from>
                    <xdr:col>7</xdr:col>
                    <xdr:colOff>0</xdr:colOff>
                    <xdr:row>1</xdr:row>
                    <xdr:rowOff>4763</xdr:rowOff>
                  </from>
                  <to>
                    <xdr:col>9</xdr:col>
                    <xdr:colOff>0</xdr:colOff>
                    <xdr:row>2</xdr:row>
                    <xdr:rowOff>0</xdr:rowOff>
                  </to>
                </anchor>
              </controlPr>
            </control>
          </mc:Choice>
        </mc:AlternateContent>
        <mc:AlternateContent xmlns:mc="http://schemas.openxmlformats.org/markup-compatibility/2006">
          <mc:Choice Requires="x14">
            <control shapeId="3079" r:id="rId5" name="Button 7">
              <controlPr defaultSize="0" print="0" autoFill="0" autoPict="0" macro="[0]!Sheet3.CheckSky">
                <anchor moveWithCells="1" sizeWithCells="1">
                  <from>
                    <xdr:col>10</xdr:col>
                    <xdr:colOff>0</xdr:colOff>
                    <xdr:row>1</xdr:row>
                    <xdr:rowOff>4763</xdr:rowOff>
                  </from>
                  <to>
                    <xdr:col>12</xdr:col>
                    <xdr:colOff>0</xdr:colOff>
                    <xdr:row>2</xdr:row>
                    <xdr:rowOff>0</xdr:rowOff>
                  </to>
                </anchor>
              </controlPr>
            </control>
          </mc:Choice>
        </mc:AlternateContent>
        <mc:AlternateContent xmlns:mc="http://schemas.openxmlformats.org/markup-compatibility/2006">
          <mc:Choice Requires="x14">
            <control shapeId="3080" r:id="rId6" name="Button 8">
              <controlPr defaultSize="0" print="0" autoFill="0" autoPict="0" macro="[0]!Sheet3.CheckSky">
                <anchor moveWithCells="1" sizeWithCells="1">
                  <from>
                    <xdr:col>2</xdr:col>
                    <xdr:colOff>0</xdr:colOff>
                    <xdr:row>1</xdr:row>
                    <xdr:rowOff>0</xdr:rowOff>
                  </from>
                  <to>
                    <xdr:col>6</xdr:col>
                    <xdr:colOff>0</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40E4B3-35D7-4001-8EFA-CD2570695CFA}">
  <sheetPr codeName="Sheet5"/>
  <dimension ref="B2:G9"/>
  <sheetViews>
    <sheetView tabSelected="1" workbookViewId="0">
      <selection activeCell="E10" sqref="E10"/>
    </sheetView>
  </sheetViews>
  <sheetFormatPr defaultRowHeight="15"/>
  <cols>
    <col min="1" max="1" width="3.0625" style="7" customWidth="1"/>
    <col min="2" max="2" width="2.8125" style="7" customWidth="1"/>
    <col min="3" max="3" width="12" style="7" bestFit="1" customWidth="1"/>
    <col min="4" max="4" width="12" style="7" customWidth="1"/>
    <col min="5" max="5" width="64.125" style="7" bestFit="1" customWidth="1"/>
    <col min="6" max="6" width="10.0625" style="7" bestFit="1" customWidth="1"/>
    <col min="7" max="7" width="9" style="7"/>
    <col min="8" max="8" width="9.0625" style="7" customWidth="1"/>
    <col min="9" max="16384" width="9" style="7"/>
  </cols>
  <sheetData>
    <row r="2" spans="2:7">
      <c r="B2" s="7" t="s">
        <v>24</v>
      </c>
      <c r="C2" s="7" t="s">
        <v>45</v>
      </c>
    </row>
    <row r="3" spans="2:7" ht="195">
      <c r="C3" s="28"/>
      <c r="E3" s="28" t="s">
        <v>115</v>
      </c>
    </row>
    <row r="5" spans="2:7">
      <c r="B5" s="7" t="s">
        <v>24</v>
      </c>
      <c r="C5" s="7" t="s">
        <v>56</v>
      </c>
    </row>
    <row r="6" spans="2:7">
      <c r="B6" s="10"/>
      <c r="C6" s="10" t="s">
        <v>54</v>
      </c>
      <c r="D6" s="10" t="s">
        <v>57</v>
      </c>
      <c r="E6" s="10" t="s">
        <v>55</v>
      </c>
      <c r="F6" s="10" t="s">
        <v>58</v>
      </c>
      <c r="G6" s="10"/>
    </row>
    <row r="7" spans="2:7">
      <c r="C7" s="7" t="s">
        <v>59</v>
      </c>
      <c r="D7" s="7" t="s">
        <v>112</v>
      </c>
      <c r="E7" s="7" t="s">
        <v>99</v>
      </c>
      <c r="F7" s="7" t="s">
        <v>100</v>
      </c>
    </row>
    <row r="8" spans="2:7">
      <c r="C8" s="7" t="s">
        <v>59</v>
      </c>
      <c r="D8" s="7" t="s">
        <v>113</v>
      </c>
      <c r="E8" s="7" t="s">
        <v>99</v>
      </c>
      <c r="F8" s="7" t="s">
        <v>101</v>
      </c>
    </row>
    <row r="9" spans="2:7">
      <c r="C9" s="7" t="s">
        <v>59</v>
      </c>
      <c r="D9" s="7" t="s">
        <v>114</v>
      </c>
      <c r="E9" s="7" t="s">
        <v>99</v>
      </c>
      <c r="F9" s="7" t="s">
        <v>102</v>
      </c>
    </row>
  </sheetData>
  <autoFilter ref="B6:F6" xr:uid="{6D556972-2F92-45E8-B05F-96A889B069F3}"/>
  <dataConsolidate/>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697F3-EA46-49B7-BC59-9B0B23FB8A62}">
  <sheetPr codeName="Sheet4"/>
  <dimension ref="B2:G50"/>
  <sheetViews>
    <sheetView zoomScaleNormal="100" workbookViewId="0">
      <selection activeCell="E6" sqref="E6"/>
    </sheetView>
  </sheetViews>
  <sheetFormatPr defaultRowHeight="15"/>
  <cols>
    <col min="1" max="1" width="9" style="7"/>
    <col min="2" max="3" width="2.5625" style="7" customWidth="1"/>
    <col min="4" max="4" width="12.3125" style="29" bestFit="1" customWidth="1"/>
    <col min="5" max="5" width="20.5625" style="7" customWidth="1"/>
    <col min="6" max="16384" width="9" style="7"/>
  </cols>
  <sheetData>
    <row r="2" spans="2:7">
      <c r="B2" s="7" t="s">
        <v>24</v>
      </c>
      <c r="C2" s="29" t="s">
        <v>30</v>
      </c>
    </row>
    <row r="3" spans="2:7">
      <c r="C3" s="32"/>
      <c r="D3" s="32" t="s">
        <v>29</v>
      </c>
      <c r="E3" s="33" t="s">
        <v>2</v>
      </c>
      <c r="F3" s="33"/>
    </row>
    <row r="4" spans="2:7">
      <c r="D4" s="29" t="s">
        <v>0</v>
      </c>
    </row>
    <row r="5" spans="2:7">
      <c r="D5" s="29" t="s">
        <v>34</v>
      </c>
      <c r="E5" s="7" t="s">
        <v>33</v>
      </c>
    </row>
    <row r="6" spans="2:7">
      <c r="D6" s="29" t="s">
        <v>1</v>
      </c>
      <c r="E6" s="7" t="s">
        <v>5</v>
      </c>
    </row>
    <row r="8" spans="2:7">
      <c r="C8" s="32"/>
      <c r="D8" s="32" t="s">
        <v>31</v>
      </c>
      <c r="E8" s="33"/>
      <c r="F8" s="33"/>
    </row>
    <row r="10" spans="2:7">
      <c r="B10" s="7" t="s">
        <v>24</v>
      </c>
      <c r="C10" s="29" t="s">
        <v>4</v>
      </c>
    </row>
    <row r="11" spans="2:7">
      <c r="C11" s="29" t="s">
        <v>27</v>
      </c>
      <c r="E11" s="30" t="s">
        <v>28</v>
      </c>
      <c r="F11" s="30"/>
    </row>
    <row r="12" spans="2:7">
      <c r="C12" s="29"/>
      <c r="E12" s="30"/>
      <c r="F12" s="30"/>
    </row>
    <row r="13" spans="2:7">
      <c r="C13" s="34" t="s">
        <v>3</v>
      </c>
      <c r="D13" s="34"/>
      <c r="E13" s="35"/>
      <c r="F13" s="35"/>
      <c r="G13" s="35"/>
    </row>
    <row r="14" spans="2:7">
      <c r="C14" s="36"/>
      <c r="D14" s="36" t="s">
        <v>25</v>
      </c>
      <c r="E14" s="37" t="s">
        <v>26</v>
      </c>
      <c r="F14" s="37" t="s">
        <v>86</v>
      </c>
      <c r="G14" s="37"/>
    </row>
    <row r="15" spans="2:7">
      <c r="D15" s="31">
        <v>43831</v>
      </c>
      <c r="E15" s="7" t="s">
        <v>6</v>
      </c>
      <c r="F15" s="7" t="s">
        <v>0</v>
      </c>
    </row>
    <row r="16" spans="2:7">
      <c r="D16" s="31">
        <v>43843</v>
      </c>
      <c r="E16" s="7" t="s">
        <v>7</v>
      </c>
      <c r="F16" s="7" t="s">
        <v>0</v>
      </c>
    </row>
    <row r="17" spans="4:6">
      <c r="D17" s="31">
        <v>43872</v>
      </c>
      <c r="E17" s="7" t="s">
        <v>8</v>
      </c>
      <c r="F17" s="7" t="s">
        <v>0</v>
      </c>
    </row>
    <row r="18" spans="4:6">
      <c r="D18" s="31">
        <v>43884</v>
      </c>
      <c r="E18" s="7" t="s">
        <v>9</v>
      </c>
      <c r="F18" s="7" t="s">
        <v>0</v>
      </c>
    </row>
    <row r="19" spans="4:6">
      <c r="D19" s="31">
        <v>43885</v>
      </c>
      <c r="E19" s="7" t="s">
        <v>10</v>
      </c>
      <c r="F19" s="7" t="s">
        <v>0</v>
      </c>
    </row>
    <row r="20" spans="4:6">
      <c r="D20" s="31">
        <v>43910</v>
      </c>
      <c r="E20" s="7" t="s">
        <v>11</v>
      </c>
      <c r="F20" s="7" t="s">
        <v>0</v>
      </c>
    </row>
    <row r="21" spans="4:6">
      <c r="D21" s="31">
        <v>43950</v>
      </c>
      <c r="E21" s="7" t="s">
        <v>12</v>
      </c>
      <c r="F21" s="7" t="s">
        <v>0</v>
      </c>
    </row>
    <row r="22" spans="4:6">
      <c r="D22" s="31">
        <v>43954</v>
      </c>
      <c r="E22" s="7" t="s">
        <v>13</v>
      </c>
      <c r="F22" s="7" t="s">
        <v>0</v>
      </c>
    </row>
    <row r="23" spans="4:6">
      <c r="D23" s="31">
        <v>43955</v>
      </c>
      <c r="E23" s="7" t="s">
        <v>14</v>
      </c>
      <c r="F23" s="7" t="s">
        <v>0</v>
      </c>
    </row>
    <row r="24" spans="4:6">
      <c r="D24" s="31">
        <v>43956</v>
      </c>
      <c r="E24" s="7" t="s">
        <v>15</v>
      </c>
      <c r="F24" s="7" t="s">
        <v>0</v>
      </c>
    </row>
    <row r="25" spans="4:6">
      <c r="D25" s="31">
        <v>43957</v>
      </c>
      <c r="E25" s="7" t="s">
        <v>10</v>
      </c>
      <c r="F25" s="7" t="s">
        <v>0</v>
      </c>
    </row>
    <row r="26" spans="4:6">
      <c r="D26" s="31">
        <v>44035</v>
      </c>
      <c r="E26" s="7" t="s">
        <v>16</v>
      </c>
      <c r="F26" s="7" t="s">
        <v>0</v>
      </c>
    </row>
    <row r="27" spans="4:6">
      <c r="D27" s="31">
        <v>44036</v>
      </c>
      <c r="E27" s="7" t="s">
        <v>17</v>
      </c>
      <c r="F27" s="7" t="s">
        <v>0</v>
      </c>
    </row>
    <row r="28" spans="4:6">
      <c r="D28" s="31">
        <v>44053</v>
      </c>
      <c r="E28" s="7" t="s">
        <v>18</v>
      </c>
      <c r="F28" s="7" t="s">
        <v>0</v>
      </c>
    </row>
    <row r="29" spans="4:6">
      <c r="D29" s="31">
        <v>44095</v>
      </c>
      <c r="E29" s="7" t="s">
        <v>19</v>
      </c>
      <c r="F29" s="7" t="s">
        <v>0</v>
      </c>
    </row>
    <row r="30" spans="4:6">
      <c r="D30" s="31">
        <v>44096</v>
      </c>
      <c r="E30" s="7" t="s">
        <v>20</v>
      </c>
      <c r="F30" s="7" t="s">
        <v>0</v>
      </c>
    </row>
    <row r="31" spans="4:6">
      <c r="D31" s="31">
        <v>44138</v>
      </c>
      <c r="E31" s="7" t="s">
        <v>21</v>
      </c>
      <c r="F31" s="7" t="s">
        <v>0</v>
      </c>
    </row>
    <row r="32" spans="4:6">
      <c r="D32" s="31">
        <v>44158</v>
      </c>
      <c r="E32" s="7" t="s">
        <v>22</v>
      </c>
      <c r="F32" s="7" t="s">
        <v>0</v>
      </c>
    </row>
    <row r="33" spans="4:6">
      <c r="D33" s="31">
        <v>44197</v>
      </c>
      <c r="E33" s="7" t="s">
        <v>6</v>
      </c>
      <c r="F33" s="7" t="s">
        <v>0</v>
      </c>
    </row>
    <row r="34" spans="4:6">
      <c r="D34" s="31">
        <v>44207</v>
      </c>
      <c r="E34" s="7" t="s">
        <v>7</v>
      </c>
      <c r="F34" s="7" t="s">
        <v>0</v>
      </c>
    </row>
    <row r="35" spans="4:6">
      <c r="D35" s="31">
        <v>44238</v>
      </c>
      <c r="E35" s="7" t="s">
        <v>8</v>
      </c>
      <c r="F35" s="7" t="s">
        <v>0</v>
      </c>
    </row>
    <row r="36" spans="4:6">
      <c r="D36" s="31">
        <v>44250</v>
      </c>
      <c r="E36" s="7" t="s">
        <v>9</v>
      </c>
      <c r="F36" s="7" t="s">
        <v>0</v>
      </c>
    </row>
    <row r="37" spans="4:6">
      <c r="D37" s="31">
        <v>44275</v>
      </c>
      <c r="E37" s="7" t="s">
        <v>11</v>
      </c>
      <c r="F37" s="7" t="s">
        <v>0</v>
      </c>
    </row>
    <row r="38" spans="4:6">
      <c r="D38" s="31">
        <v>44315</v>
      </c>
      <c r="E38" s="7" t="s">
        <v>12</v>
      </c>
      <c r="F38" s="7" t="s">
        <v>0</v>
      </c>
    </row>
    <row r="39" spans="4:6">
      <c r="D39" s="31">
        <v>44319</v>
      </c>
      <c r="E39" s="7" t="s">
        <v>13</v>
      </c>
      <c r="F39" s="7" t="s">
        <v>0</v>
      </c>
    </row>
    <row r="40" spans="4:6">
      <c r="D40" s="31">
        <v>44320</v>
      </c>
      <c r="E40" s="7" t="s">
        <v>14</v>
      </c>
      <c r="F40" s="7" t="s">
        <v>0</v>
      </c>
    </row>
    <row r="41" spans="4:6">
      <c r="D41" s="31">
        <v>44321</v>
      </c>
      <c r="E41" s="7" t="s">
        <v>15</v>
      </c>
      <c r="F41" s="7" t="s">
        <v>0</v>
      </c>
    </row>
    <row r="42" spans="4:6">
      <c r="D42" s="31">
        <v>44396</v>
      </c>
      <c r="E42" s="7" t="s">
        <v>16</v>
      </c>
      <c r="F42" s="7" t="s">
        <v>0</v>
      </c>
    </row>
    <row r="43" spans="4:6">
      <c r="D43" s="31">
        <v>44419</v>
      </c>
      <c r="E43" s="7" t="s">
        <v>18</v>
      </c>
      <c r="F43" s="7" t="s">
        <v>0</v>
      </c>
    </row>
    <row r="44" spans="4:6">
      <c r="D44" s="31">
        <v>44459</v>
      </c>
      <c r="E44" s="7" t="s">
        <v>19</v>
      </c>
      <c r="F44" s="7" t="s">
        <v>0</v>
      </c>
    </row>
    <row r="45" spans="4:6">
      <c r="D45" s="31">
        <v>44462</v>
      </c>
      <c r="E45" s="7" t="s">
        <v>20</v>
      </c>
      <c r="F45" s="7" t="s">
        <v>0</v>
      </c>
    </row>
    <row r="46" spans="4:6">
      <c r="D46" s="31">
        <v>44480</v>
      </c>
      <c r="E46" s="7" t="s">
        <v>17</v>
      </c>
      <c r="F46" s="7" t="s">
        <v>0</v>
      </c>
    </row>
    <row r="47" spans="4:6">
      <c r="D47" s="31">
        <v>44503</v>
      </c>
      <c r="E47" s="7" t="s">
        <v>21</v>
      </c>
      <c r="F47" s="7" t="s">
        <v>0</v>
      </c>
    </row>
    <row r="48" spans="4:6">
      <c r="D48" s="31">
        <v>44523</v>
      </c>
      <c r="E48" s="7" t="s">
        <v>22</v>
      </c>
      <c r="F48" s="7" t="s">
        <v>0</v>
      </c>
    </row>
    <row r="50" spans="3:7">
      <c r="C50" s="32"/>
      <c r="D50" s="32" t="s">
        <v>23</v>
      </c>
      <c r="E50" s="33"/>
      <c r="F50" s="33"/>
      <c r="G50" s="33"/>
    </row>
  </sheetData>
  <phoneticPr fontId="1"/>
  <dataValidations count="1">
    <dataValidation type="list" allowBlank="1" showInputMessage="1" sqref="F14:F50" xr:uid="{80366509-BE8B-4559-B69D-7E2459834AD2}">
      <formula1>スケジュール種別</formula1>
    </dataValidation>
  </dataValidations>
  <hyperlinks>
    <hyperlink ref="E11" r:id="rId1" xr:uid="{9CD5454A-5C6F-4F54-A9E4-5E6E3D79C238}"/>
  </hyperlinks>
  <pageMargins left="0.7" right="0.7" top="0.75" bottom="0.75" header="0.3" footer="0.3"/>
  <pageSetup paperSize="9" orientation="portrait"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93EA2-7426-4B43-B40A-FBCB444D6ED1}">
  <sheetPr codeName="Sheet2"/>
  <dimension ref="B2:D7"/>
  <sheetViews>
    <sheetView zoomScaleNormal="100" workbookViewId="0">
      <selection activeCell="C8" sqref="C8"/>
    </sheetView>
  </sheetViews>
  <sheetFormatPr defaultRowHeight="15"/>
  <cols>
    <col min="1" max="1" width="9" style="7"/>
    <col min="2" max="2" width="2.8125" style="7" customWidth="1"/>
    <col min="3" max="16384" width="9" style="7"/>
  </cols>
  <sheetData>
    <row r="2" spans="2:4">
      <c r="B2" s="7" t="s">
        <v>87</v>
      </c>
      <c r="D2" s="30"/>
    </row>
    <row r="3" spans="2:4">
      <c r="C3" s="7" t="s">
        <v>89</v>
      </c>
      <c r="D3" s="30"/>
    </row>
    <row r="4" spans="2:4">
      <c r="C4" s="30" t="s">
        <v>32</v>
      </c>
    </row>
    <row r="7" spans="2:4">
      <c r="B7" s="7" t="s">
        <v>88</v>
      </c>
    </row>
  </sheetData>
  <phoneticPr fontId="1"/>
  <hyperlinks>
    <hyperlink ref="C4" r:id="rId1" xr:uid="{F54D1A1B-4445-42DF-B2B2-964F12B048A5}"/>
  </hyperlinks>
  <pageMargins left="0.7" right="0.7" top="0.75" bottom="0.75" header="0.3" footer="0.3"/>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29</vt:i4>
      </vt:variant>
    </vt:vector>
  </HeadingPairs>
  <TitlesOfParts>
    <vt:vector size="35" baseType="lpstr">
      <vt:lpstr>変更履歴</vt:lpstr>
      <vt:lpstr>要望</vt:lpstr>
      <vt:lpstr>チェック</vt:lpstr>
      <vt:lpstr>チェック結果</vt:lpstr>
      <vt:lpstr>カレンダー</vt:lpstr>
      <vt:lpstr>設計書</vt:lpstr>
      <vt:lpstr>DebugLogLevel</vt:lpstr>
      <vt:lpstr>DirCheckedResult</vt:lpstr>
      <vt:lpstr>DirOutputDebugLog</vt:lpstr>
      <vt:lpstr>FileCheckedResult</vt:lpstr>
      <vt:lpstr>IsOutputCell</vt:lpstr>
      <vt:lpstr>IsOutputDebugLogFile</vt:lpstr>
      <vt:lpstr>IsOutputDetail</vt:lpstr>
      <vt:lpstr>IsOutputErrorBp</vt:lpstr>
      <vt:lpstr>IsOutputErrorSky</vt:lpstr>
      <vt:lpstr>IsOutputFile</vt:lpstr>
      <vt:lpstr>IsOutputInfoBp</vt:lpstr>
      <vt:lpstr>IsOutputInfoSky</vt:lpstr>
      <vt:lpstr>IsOutputWarningBp</vt:lpstr>
      <vt:lpstr>IsOutputWarningSky</vt:lpstr>
      <vt:lpstr>NameDebugLogFile</vt:lpstr>
      <vt:lpstr>スケジュール</vt:lpstr>
      <vt:lpstr>スケジュール種別</vt:lpstr>
      <vt:lpstr>チェック対象フォルダ</vt:lpstr>
      <vt:lpstr>チェック対象月</vt:lpstr>
      <vt:lpstr>チェック対象年</vt:lpstr>
      <vt:lpstr>バックアップ先</vt:lpstr>
      <vt:lpstr>メンバ一覧_BP</vt:lpstr>
      <vt:lpstr>メンバ一覧_Sky</vt:lpstr>
      <vt:lpstr>昼休憩時間</vt:lpstr>
      <vt:lpstr>定時後休憩時間</vt:lpstr>
      <vt:lpstr>定時語休憩時間</vt:lpstr>
      <vt:lpstr>定時出勤時間</vt:lpstr>
      <vt:lpstr>定時退勤時間</vt:lpstr>
      <vt:lpstr>定時退社日</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2020-10-03T16:40:19Z</dcterms:created>
  <dcterms:modified xsi:type="dcterms:W3CDTF">2020-10-10T05:58:11Z</dcterms:modified>
</cp:coreProperties>
</file>