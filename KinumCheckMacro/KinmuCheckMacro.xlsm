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filterPrivacy="1" codeName="ThisWorkbook"/>
  <xr:revisionPtr revIDLastSave="0" documentId="13_ncr:1_{4432DFFF-D4D0-4827-B91E-D102A53CF752}" xr6:coauthVersionLast="45" xr6:coauthVersionMax="45" xr10:uidLastSave="{00000000-0000-0000-0000-000000000000}"/>
  <bookViews>
    <workbookView xWindow="-98" yWindow="-98" windowWidth="22695" windowHeight="14595" activeTab="3" xr2:uid="{00000000-000D-0000-FFFF-FFFF00000000}"/>
  </bookViews>
  <sheets>
    <sheet name="変更履歴" sheetId="1" r:id="rId1"/>
    <sheet name="要望" sheetId="11" r:id="rId2"/>
    <sheet name="チェック" sheetId="3" r:id="rId3"/>
    <sheet name="チェック結果" sheetId="10" r:id="rId4"/>
    <sheet name="カレンダー" sheetId="4" r:id="rId5"/>
    <sheet name="設計書" sheetId="2" r:id="rId6"/>
  </sheets>
  <functionGroups builtInGroupCount="19"/>
  <definedNames>
    <definedName name="_xlnm._FilterDatabase" localSheetId="3" hidden="1">チェック結果!$B$6:$F$6</definedName>
    <definedName name="IsOutputCell">チェック!$F$27</definedName>
    <definedName name="IsOutputDetail">チェック!$F$29</definedName>
    <definedName name="IsOutputError">チェック!$F$23</definedName>
    <definedName name="IsOutputFile">チェック!$F$21</definedName>
    <definedName name="IsOutputInfo">チェック!$F$25</definedName>
    <definedName name="IsOutputWarning">チェック!$F$24</definedName>
    <definedName name="スケジュール">カレンダー!$C$13:$G$50</definedName>
    <definedName name="スケジュール種別">カレンダー!$D$3:$D$8</definedName>
    <definedName name="チェック結果出力先">チェック!$F$22</definedName>
    <definedName name="チェック対象フォルダ">チェック!$F$5</definedName>
    <definedName name="チェック対象月">チェック!$F$9</definedName>
    <definedName name="チェック対象年">チェック!$F$8</definedName>
    <definedName name="バックアップ先">チェック!$F$6</definedName>
    <definedName name="昼休憩時間">チェック!$F$16</definedName>
    <definedName name="定時後休憩時間">チェック!$F$17</definedName>
    <definedName name="定時語休憩時間">チェック!$F$17</definedName>
    <definedName name="定時出勤時間">チェック!$F$14</definedName>
    <definedName name="定時退勤時間">チェック!$F$15</definedName>
    <definedName name="定時退社日">チェック!$F$18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 i="3" l="1"/>
  <c r="F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tc={D312303D-986C-4A07-A662-9ED0747505A4}</author>
    <author>tc={0F9C96D9-B88B-4F97-B495-23D0B5C6E07B}</author>
    <author>tc={F59DF893-79FB-4822-B153-EB76035ED2A2}</author>
    <author>tc={0C7D5F1D-931E-4AF4-A536-EBA7F0D252F9}</author>
  </authors>
  <commentList>
    <comment ref="D6" authorId="0" shapeId="0" xr:uid="{D312303D-986C-4A07-A662-9ED0747505A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ファイルの破損を防ぐため、バックアップ先に対してファイル操作を行う。
返信:
未入力の場合は当マクロと同階層にフォルダーを追加する。「backup_(日付)」</t>
      </text>
    </comment>
    <comment ref="E23" authorId="1" shapeId="0" xr:uid="{0F9C96D9-B88B-4F97-B495-23D0B5C6E07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未入力の場合は出力しない
返信:
チェック結果詳細にはすべて出力する？でいいのか？</t>
      </text>
    </comment>
    <comment ref="E24" authorId="2" shapeId="0" xr:uid="{F59DF893-79FB-4822-B153-EB76035ED2A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未入力の場合は出力しない</t>
      </text>
    </comment>
    <comment ref="E25" authorId="3" shapeId="0" xr:uid="{0C7D5F1D-931E-4AF4-A536-EBA7F0D252F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未入力の場合は出力しない</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tc={3F43D754-D347-49F2-A155-DDE26D4A85A5}</author>
  </authors>
  <commentList>
    <comment ref="C13" authorId="0" shapeId="0" xr:uid="{3F43D754-D347-49F2-A155-DDE26D4A85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過去のスケジュールは定期的に削除しないとチェック実行が遅くなる
返信:
重複(例えば国民の祝日でSky式典日)しているときは下に書かれたほうが有効</t>
      </text>
    </comment>
  </commentList>
</comments>
</file>

<file path=xl/sharedStrings.xml><?xml version="1.0" encoding="utf-8"?>
<sst xmlns="http://schemas.openxmlformats.org/spreadsheetml/2006/main" count="154" uniqueCount="83">
  <si>
    <t>国民の祝日</t>
    <rPh sb="0" eb="2">
      <t>コクミン</t>
    </rPh>
    <rPh sb="3" eb="5">
      <t>シュクジツ</t>
    </rPh>
    <phoneticPr fontId="1"/>
  </si>
  <si>
    <t>出勤日</t>
    <rPh sb="0" eb="3">
      <t>シュッキンビ</t>
    </rPh>
    <phoneticPr fontId="1"/>
  </si>
  <si>
    <t>備考</t>
    <rPh sb="0" eb="2">
      <t>ビコウ</t>
    </rPh>
    <phoneticPr fontId="1"/>
  </si>
  <si>
    <t>スケジュール</t>
    <phoneticPr fontId="1"/>
  </si>
  <si>
    <t>スケジュール(※定義されていない曜日は平日扱い)</t>
    <rPh sb="8" eb="10">
      <t>テイギ</t>
    </rPh>
    <rPh sb="16" eb="18">
      <t>ヨウビ</t>
    </rPh>
    <rPh sb="19" eb="21">
      <t>ヘイジツ</t>
    </rPh>
    <rPh sb="21" eb="22">
      <t>アツカ</t>
    </rPh>
    <phoneticPr fontId="1"/>
  </si>
  <si>
    <t>休日だが出勤日として扱いたい場合に使用する</t>
    <rPh sb="0" eb="2">
      <t>キュウジツ</t>
    </rPh>
    <rPh sb="4" eb="7">
      <t>シュッキンビ</t>
    </rPh>
    <rPh sb="10" eb="11">
      <t>アツカ</t>
    </rPh>
    <rPh sb="14" eb="16">
      <t>バアイ</t>
    </rPh>
    <rPh sb="17" eb="19">
      <t>シヨウ</t>
    </rPh>
    <phoneticPr fontId="1"/>
  </si>
  <si>
    <t>元日</t>
  </si>
  <si>
    <t>成人の日</t>
  </si>
  <si>
    <t>建国記念の日</t>
  </si>
  <si>
    <t>天皇誕生日</t>
  </si>
  <si>
    <t>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</si>
  <si>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</si>
  <si>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</si>
  <si>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</si>
  <si>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</si>
  <si>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</si>
  <si>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</si>
  <si>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</si>
  <si>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</si>
  <si>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</si>
  <si>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</si>
  <si>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</si>
  <si>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</si>
  <si>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名前の定義の範囲が変わるため、この行は削除しないこと</t>
    <rPh sb="0" eb="2">
      <t>ナマエ</t>
    </rPh>
    <rPh sb="3" eb="5">
      <t>テイギ</t>
    </rPh>
    <rPh sb="6" eb="8">
      <t>ハンイ</t>
    </rPh>
    <rPh sb="9" eb="10">
      <t>カ</t>
    </rPh>
    <rPh sb="17" eb="18">
      <t>ギョウ</t>
    </rPh>
    <rPh sb="19" eb="21">
      <t>サクジョ</t>
    </rPh>
    <phoneticPr fontId="1"/>
  </si>
  <si>
    <t>■</t>
    <phoneticPr fontId="1"/>
  </si>
  <si>
    <t>日付</t>
    <rPh sb="0" eb="2">
      <t>ヒヅケ</t>
    </rPh>
    <phoneticPr fontId="1"/>
  </si>
  <si>
    <t>名前</t>
    <rPh sb="0" eb="2">
      <t>ナマエ</t>
    </rPh>
    <phoneticPr fontId="1"/>
  </si>
  <si>
    <t>参考)</t>
    <rPh sb="0" eb="2">
      <t>サンコウ</t>
    </rPh>
    <phoneticPr fontId="1"/>
  </si>
  <si>
    <t>https://www8.cao.go.jp/chosei/shukujitsu/gaiyou.html</t>
    <phoneticPr fontId="1"/>
  </si>
  <si>
    <t>種別</t>
    <rPh sb="0" eb="2">
      <t>シュベツ</t>
    </rPh>
    <phoneticPr fontId="1"/>
  </si>
  <si>
    <t>スケジュール種別</t>
    <rPh sb="6" eb="8">
      <t>シュベツ</t>
    </rPh>
    <phoneticPr fontId="1"/>
  </si>
  <si>
    <t>※名前の定義の範囲に注意。この行を削除しないこと。</t>
    <rPh sb="7" eb="9">
      <t>ハンイ</t>
    </rPh>
    <rPh sb="10" eb="12">
      <t>チュウイ</t>
    </rPh>
    <rPh sb="15" eb="16">
      <t>ギョウ</t>
    </rPh>
    <rPh sb="17" eb="19">
      <t>サクジョ</t>
    </rPh>
    <phoneticPr fontId="1"/>
  </si>
  <si>
    <t>http://www.plantuml.com/plantuml/uml/</t>
    <phoneticPr fontId="1"/>
  </si>
  <si>
    <t>Sky社員に限り、休日でも出勤日として扱う</t>
    <rPh sb="3" eb="5">
      <t>シャイン</t>
    </rPh>
    <rPh sb="6" eb="7">
      <t>カギ</t>
    </rPh>
    <rPh sb="9" eb="11">
      <t>キュウジツ</t>
    </rPh>
    <rPh sb="13" eb="16">
      <t>シュッキンビ</t>
    </rPh>
    <rPh sb="19" eb="20">
      <t>アツカ</t>
    </rPh>
    <phoneticPr fontId="1"/>
  </si>
  <si>
    <t>Sky式典日</t>
    <rPh sb="3" eb="5">
      <t>シキテン</t>
    </rPh>
    <rPh sb="5" eb="6">
      <t>ヒ</t>
    </rPh>
    <phoneticPr fontId="1"/>
  </si>
  <si>
    <t>チェック対象年</t>
    <rPh sb="4" eb="6">
      <t>タイショウ</t>
    </rPh>
    <rPh sb="6" eb="7">
      <t>ネン</t>
    </rPh>
    <phoneticPr fontId="1"/>
  </si>
  <si>
    <t>チェック設定(必須)</t>
    <rPh sb="4" eb="6">
      <t>セッテイ</t>
    </rPh>
    <rPh sb="7" eb="9">
      <t>ヒッス</t>
    </rPh>
    <phoneticPr fontId="1"/>
  </si>
  <si>
    <t>バックアップ先</t>
    <rPh sb="6" eb="7">
      <t>サキ</t>
    </rPh>
    <phoneticPr fontId="1"/>
  </si>
  <si>
    <t>チェック対象月</t>
    <rPh sb="4" eb="6">
      <t>タイショウ</t>
    </rPh>
    <rPh sb="6" eb="7">
      <t>ツキ</t>
    </rPh>
    <phoneticPr fontId="1"/>
  </si>
  <si>
    <t>BP</t>
    <phoneticPr fontId="1"/>
  </si>
  <si>
    <t>Sky</t>
    <phoneticPr fontId="1"/>
  </si>
  <si>
    <t>チェック設定(任意)</t>
    <rPh sb="4" eb="6">
      <t>セッテイ</t>
    </rPh>
    <rPh sb="7" eb="9">
      <t>ニンイ</t>
    </rPh>
    <phoneticPr fontId="1"/>
  </si>
  <si>
    <t>昼休憩時間</t>
    <rPh sb="0" eb="1">
      <t>ヒル</t>
    </rPh>
    <rPh sb="1" eb="5">
      <t>キュウケイジカン</t>
    </rPh>
    <phoneticPr fontId="1"/>
  </si>
  <si>
    <t>定時後休憩時間</t>
    <rPh sb="0" eb="2">
      <t>テイジ</t>
    </rPh>
    <rPh sb="2" eb="3">
      <t>ゴ</t>
    </rPh>
    <rPh sb="3" eb="7">
      <t>キュウケイジカン</t>
    </rPh>
    <phoneticPr fontId="1"/>
  </si>
  <si>
    <t>変更内容</t>
    <rPh sb="0" eb="4">
      <t>ヘンコウナイヨウ</t>
    </rPh>
    <phoneticPr fontId="1"/>
  </si>
  <si>
    <t>変更者</t>
    <rPh sb="0" eb="2">
      <t>ヘンコウ</t>
    </rPh>
    <rPh sb="2" eb="3">
      <t>シャ</t>
    </rPh>
    <phoneticPr fontId="1"/>
  </si>
  <si>
    <t>Version</t>
    <phoneticPr fontId="1"/>
  </si>
  <si>
    <t>クラス図</t>
    <rPh sb="3" eb="4">
      <t>ズ</t>
    </rPh>
    <phoneticPr fontId="1"/>
  </si>
  <si>
    <t>はじめに</t>
    <phoneticPr fontId="1"/>
  </si>
  <si>
    <t>PlantUMLで作成した</t>
    <rPh sb="9" eb="11">
      <t>サクセイ</t>
    </rPh>
    <phoneticPr fontId="1"/>
  </si>
  <si>
    <r>
      <t>種別(</t>
    </r>
    <r>
      <rPr>
        <b/>
        <strike/>
        <sz val="11"/>
        <color theme="1"/>
        <rFont val="Yu Gothic"/>
        <family val="3"/>
        <charset val="128"/>
        <scheme val="minor"/>
      </rPr>
      <t>未入力は「国民の祝日」扱い</t>
    </r>
    <r>
      <rPr>
        <b/>
        <sz val="11"/>
        <color theme="1"/>
        <rFont val="Yu Gothic"/>
        <family val="3"/>
        <charset val="128"/>
        <scheme val="minor"/>
      </rPr>
      <t>)</t>
    </r>
    <rPh sb="0" eb="2">
      <t>シュベツ</t>
    </rPh>
    <rPh sb="3" eb="6">
      <t>ミニュウリョク</t>
    </rPh>
    <rPh sb="8" eb="10">
      <t>コクミン</t>
    </rPh>
    <rPh sb="11" eb="13">
      <t>シュクジツ</t>
    </rPh>
    <rPh sb="14" eb="15">
      <t>アツカ</t>
    </rPh>
    <phoneticPr fontId="1"/>
  </si>
  <si>
    <t>勤務情報</t>
  </si>
  <si>
    <t>チェック結果</t>
    <rPh sb="4" eb="6">
      <t>ケッカ</t>
    </rPh>
    <phoneticPr fontId="1"/>
  </si>
  <si>
    <t>出力先ディレクトリ</t>
    <phoneticPr fontId="1"/>
  </si>
  <si>
    <t>定時退社日</t>
    <rPh sb="0" eb="5">
      <t>テイジタイシャビ</t>
    </rPh>
    <phoneticPr fontId="1"/>
  </si>
  <si>
    <t>水</t>
    <rPh sb="0" eb="1">
      <t>ミズ</t>
    </rPh>
    <phoneticPr fontId="1"/>
  </si>
  <si>
    <t>社員番号</t>
    <rPh sb="0" eb="4">
      <t>シャイン</t>
    </rPh>
    <phoneticPr fontId="1"/>
  </si>
  <si>
    <t>ERRORを出力するか</t>
    <rPh sb="6" eb="8">
      <t>シュツリョク</t>
    </rPh>
    <phoneticPr fontId="1"/>
  </si>
  <si>
    <t>WARNINGを出力するか</t>
    <rPh sb="8" eb="10">
      <t>シュツリョク</t>
    </rPh>
    <phoneticPr fontId="1"/>
  </si>
  <si>
    <t>INFOを出力するか</t>
    <rPh sb="5" eb="7">
      <t>シュツ</t>
    </rPh>
    <phoneticPr fontId="1"/>
  </si>
  <si>
    <t>yamamoto_h</t>
    <phoneticPr fontId="1"/>
  </si>
  <si>
    <t>正式公開</t>
    <rPh sb="0" eb="4">
      <t>セイシキコウカイ</t>
    </rPh>
    <phoneticPr fontId="1"/>
  </si>
  <si>
    <t>着想</t>
    <rPh sb="0" eb="2">
      <t>チャクソウ</t>
    </rPh>
    <phoneticPr fontId="1"/>
  </si>
  <si>
    <t>結果種別</t>
    <rPh sb="0" eb="2">
      <t>ケッカ</t>
    </rPh>
    <rPh sb="2" eb="4">
      <t>シュベツ</t>
    </rPh>
    <phoneticPr fontId="1"/>
  </si>
  <si>
    <t>内容</t>
    <rPh sb="0" eb="2">
      <t>ナイヨウ</t>
    </rPh>
    <phoneticPr fontId="1"/>
  </si>
  <si>
    <t>チェック結果詳細</t>
    <rPh sb="4" eb="6">
      <t>ケッカ</t>
    </rPh>
    <rPh sb="6" eb="8">
      <t>ショウサイ</t>
    </rPh>
    <phoneticPr fontId="1"/>
  </si>
  <si>
    <t>対象者</t>
    <rPh sb="0" eb="2">
      <t>タイショウ</t>
    </rPh>
    <rPh sb="2" eb="3">
      <t>シャ</t>
    </rPh>
    <phoneticPr fontId="1"/>
  </si>
  <si>
    <t>結果詳細を出力するか</t>
    <rPh sb="0" eb="2">
      <t>ケッカ</t>
    </rPh>
    <rPh sb="2" eb="4">
      <t>ショウサイ</t>
    </rPh>
    <rPh sb="5" eb="7">
      <t>シュツリョク</t>
    </rPh>
    <phoneticPr fontId="1"/>
  </si>
  <si>
    <t>ファイルパス</t>
    <phoneticPr fontId="1"/>
  </si>
  <si>
    <t>Info</t>
  </si>
  <si>
    <t>青空 太郎</t>
  </si>
  <si>
    <t>C:\Users\mishi\Documents\Workspace\BusinessTools\003_Excel\勤務表チェックマクロ\sample.xlsx</t>
  </si>
  <si>
    <t>最終更新日時(2020/10/04 01:49)のファイルをチェックしました。</t>
  </si>
  <si>
    <t>Error</t>
  </si>
  <si>
    <t>何かしらのエラーが発生しました。</t>
  </si>
  <si>
    <t>対象フォルダ</t>
    <rPh sb="0" eb="2">
      <t>タイショウ</t>
    </rPh>
    <phoneticPr fontId="1"/>
  </si>
  <si>
    <t>ファイル出力するか</t>
    <rPh sb="4" eb="6">
      <t>シュツリョク</t>
    </rPh>
    <phoneticPr fontId="1"/>
  </si>
  <si>
    <t>セル出力するか</t>
    <rPh sb="2" eb="4">
      <t>シュツリョク</t>
    </rPh>
    <phoneticPr fontId="1"/>
  </si>
  <si>
    <t>ファイルをチェックしました。(エラー:1件, 警告:0件)</t>
  </si>
  <si>
    <t>フォーマット未作成。</t>
    <rPh sb="6" eb="9">
      <t>ミサクセイ</t>
    </rPh>
    <phoneticPr fontId="1"/>
  </si>
  <si>
    <t xml:space="preserve">■ 青空 太郎_x000D_
C:\Users\mishi\Documents\Workspace\BusinessTools\003_Excel\勤務表チェックマクロ\sample.xlsx_x000D_
最終更新日時(2020/10/04 01:49)時点のファイルに対してチェックを行いました。_x000D_
[Error]何かしらのエラーが発生しました。_x000D_
</t>
  </si>
  <si>
    <t>定時出勤時間</t>
    <rPh sb="0" eb="2">
      <t>テイジ</t>
    </rPh>
    <rPh sb="2" eb="6">
      <t>シュッキンジカン</t>
    </rPh>
    <phoneticPr fontId="1"/>
  </si>
  <si>
    <t>定時退勤時間</t>
    <rPh sb="0" eb="2">
      <t>テイジ</t>
    </rPh>
    <rPh sb="2" eb="4">
      <t>タイキン</t>
    </rPh>
    <rPh sb="4" eb="6">
      <t>ジカン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</si>
</sst>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6">
    <font>
      <sz val="11"/>
      <color theme="1"/>
      <name val="Yu Gothic"/>
      <family val="2"/>
      <scheme val="minor"/>
    </font>
    <font>
      <sz val="6"/>
      <name val="Yu Gothic"/>
      <family val="3"/>
      <charset val="128"/>
      <scheme val="minor"/>
    </font>
    <font>
      <u/>
      <sz val="11"/>
      <color theme="10"/>
      <name val="Yu Gothic"/>
      <family val="2"/>
      <scheme val="minor"/>
    </font>
    <font>
      <b/>
      <sz val="11"/>
      <color theme="1"/>
      <name val="Yu Gothic"/>
      <family val="3"/>
      <charset val="128"/>
      <scheme val="minor"/>
    </font>
    <font>
      <b/>
      <strike/>
      <sz val="11"/>
      <color theme="1"/>
      <name val="Yu Gothic"/>
      <family val="3"/>
      <charset val="128"/>
      <scheme val="minor"/>
    </font>
    <font>
      <sz val="11"/>
      <color rgb="FF000000"/>
      <name val="Yu Gothic"/>
      <family val="3"/>
      <charset val="128"/>
    </font>
  </fonts>
  <fills count="5">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14" fontId="0" fillId="0" borderId="0" xfId="0" applyNumberFormat="1"/>
    <xf numFmtId="0" fontId="2" fillId="0" borderId="0" xfId="1"/>
    <xf numFmtId="14" fontId="3" fillId="2" borderId="3" xfId="0" applyNumberFormat="1" applyFont="1" applyFill="1" applyBorder="1"/>
    <xf numFmtId="0" fontId="3" fillId="2" borderId="3" xfId="0" applyFont="1" applyFill="1" applyBorder="1"/>
    <xf numFmtId="14" fontId="3" fillId="2" borderId="1" xfId="0" applyNumberFormat="1" applyFont="1" applyFill="1" applyBorder="1"/>
    <xf numFmtId="0" fontId="3" fillId="2" borderId="1" xfId="0" applyFont="1" applyFill="1" applyBorder="1"/>
    <xf numFmtId="14" fontId="0" fillId="0" borderId="0" xfId="0" applyNumberFormat="1" applyAlignment="1">
      <alignment horizontal="left"/>
    </xf>
    <xf numFmtId="14" fontId="3" fillId="2" borderId="2" xfId="0" applyNumberFormat="1" applyFont="1" applyFill="1" applyBorder="1"/>
    <xf numFmtId="0" fontId="3" fillId="2" borderId="2" xfId="0" applyFont="1" applyFill="1" applyBorder="1"/>
    <xf numFmtId="20" fontId="0" fillId="0" borderId="0" xfId="0" applyNumberFormat="1"/>
    <xf numFmtId="176" fontId="0" fillId="0" borderId="0" xfId="0" applyNumberFormat="1"/>
    <xf numFmtId="0" fontId="0" fillId="3" borderId="2" xfId="0" applyFill="1" applyBorder="1"/>
    <xf numFmtId="176" fontId="0" fillId="3" borderId="2" xfId="0" applyNumberFormat="1" applyFill="1" applyBorder="1"/>
    <xf numFmtId="14" fontId="0" fillId="3" borderId="2" xfId="0" applyNumberFormat="1" applyFill="1" applyBorder="1"/>
    <xf numFmtId="14" fontId="0" fillId="0" borderId="0" xfId="0" applyNumberFormat="1" applyAlignment="1"/>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0" fillId="4" borderId="2" xfId="0" applyFill="1" applyBorder="1"/>
    <xf numFmtId="20" fontId="0" fillId="0" borderId="0" xfId="0" applyNumberFormat="1" applyAlignment="1">
      <alignment horizont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4763</xdr:rowOff>
        </xdr:from>
        <xdr:to>
          <xdr:col>8</xdr:col>
          <xdr:colOff>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CheckSky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4763</xdr:rowOff>
        </xdr:from>
        <xdr:to>
          <xdr:col>11</xdr:col>
          <xdr:colOff>0</xdr:colOff>
          <xdr:row>2</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214313</xdr:colOff>
          <xdr:row>1</xdr:row>
          <xdr:rowOff>0</xdr:rowOff>
        </xdr:from>
        <xdr:to>
          <xdr:col>5</xdr:col>
          <xdr:colOff>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CheckALL</a:t>
              </a:r>
            </a:p>
          </xdr:txBody>
        </xdr:sp>
        <xdr:clientData fPrintsWithSheet="0"/>
      </xdr:twoCellAnchor>
    </mc:Choice>
    <mc:Fallback/>
  </mc:AlternateContent>
  <xdr:twoCellAnchor editAs="oneCell">
    <xdr:from>
      <xdr:col>4</xdr:col>
      <xdr:colOff>55491</xdr:colOff>
      <xdr:row>4</xdr:row>
      <xdr:rowOff>78049</xdr:rowOff>
    </xdr:from>
    <xdr:to>
      <xdr:col>4</xdr:col>
      <xdr:colOff>55851</xdr:colOff>
      <xdr:row>4</xdr:row>
      <xdr:rowOff>78409</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インク 2">
              <a:extLst>
                <a:ext uri="{FF2B5EF4-FFF2-40B4-BE49-F238E27FC236}">
                  <a16:creationId xmlns:a16="http://schemas.microsoft.com/office/drawing/2014/main" id="{00000000-0008-0000-0200-000003000000}"/>
                </a:ext>
              </a:extLst>
            </xdr14:cNvPr>
            <xdr14:cNvContentPartPr/>
          </xdr14:nvContentPartPr>
          <xdr14:nvPr macro=""/>
          <xdr14:xfrm>
            <a:off x="1405800" y="974520"/>
            <a:ext cx="360" cy="360"/>
          </xdr14:xfrm>
        </xdr:contentPart>
      </mc:Choice>
      <mc:Fallback xmlns="">
        <xdr:pic>
          <xdr:nvPicPr>
            <xdr:cNvPr id="3" name="インク 2">
              <a:extLst>
                <a:ext uri="{FF2B5EF4-FFF2-40B4-BE49-F238E27FC236}">
                  <a16:creationId xmlns:a16="http://schemas.microsoft.com/office/drawing/2014/main" id="{DC86AD84-140E-4BA9-8A18-155E60E74C3A}"/>
                </a:ext>
              </a:extLst>
            </xdr:cNvPr>
            <xdr:cNvPicPr/>
          </xdr:nvPicPr>
          <xdr:blipFill>
            <a:blip xmlns:r="http://schemas.openxmlformats.org/officeDocument/2006/relationships" r:embed="rId2"/>
            <a:stretch>
              <a:fillRect/>
            </a:stretch>
          </xdr:blipFill>
          <xdr:spPr>
            <a:xfrm>
              <a:off x="1396800" y="96588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7</xdr:row>
      <xdr:rowOff>223836</xdr:rowOff>
    </xdr:from>
    <xdr:to>
      <xdr:col>7</xdr:col>
      <xdr:colOff>0</xdr:colOff>
      <xdr:row>34</xdr:row>
      <xdr:rowOff>223837</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900113" y="1790699"/>
          <a:ext cx="3429000" cy="6043613"/>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@startuml</a:t>
          </a:r>
        </a:p>
        <a:p>
          <a:pPr algn="l"/>
          <a:r>
            <a:rPr kumimoji="1" lang="en-US" altLang="ja-JP" sz="1100">
              <a:solidFill>
                <a:sysClr val="windowText" lastClr="000000"/>
              </a:solidFill>
            </a:rPr>
            <a:t>CommonChecker o-- SkyChecker</a:t>
          </a:r>
        </a:p>
        <a:p>
          <a:pPr algn="l"/>
          <a:r>
            <a:rPr kumimoji="1" lang="en-US" altLang="ja-JP" sz="1100">
              <a:solidFill>
                <a:sysClr val="windowText" lastClr="000000"/>
              </a:solidFill>
            </a:rPr>
            <a:t>CommonChecker o-- PartnerChecker</a:t>
          </a:r>
        </a:p>
        <a:p>
          <a:pPr algn="l"/>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skinparam classAttributeIconSize 0</a:t>
          </a:r>
        </a:p>
        <a:p>
          <a:pPr algn="l"/>
          <a:r>
            <a:rPr kumimoji="1" lang="en-US" altLang="ja-JP" sz="1100">
              <a:solidFill>
                <a:sysClr val="windowText" lastClr="000000"/>
              </a:solidFill>
            </a:rPr>
            <a:t>class CommonChecker {</a:t>
          </a:r>
        </a:p>
        <a:p>
          <a:pPr algn="l"/>
          <a:r>
            <a:rPr kumimoji="1" lang="en-US" altLang="ja-JP" sz="1100">
              <a:solidFill>
                <a:sysClr val="windowText" lastClr="000000"/>
              </a:solidFill>
            </a:rPr>
            <a:t> -String </a:t>
          </a:r>
          <a:r>
            <a:rPr kumimoji="1" lang="ja-JP" altLang="en-US" sz="1100">
              <a:solidFill>
                <a:sysClr val="windowText" lastClr="000000"/>
              </a:solidFill>
            </a:rPr>
            <a:t>氏名</a:t>
          </a:r>
        </a:p>
        <a:p>
          <a:pPr algn="l"/>
          <a:r>
            <a:rPr kumimoji="1" lang="ja-JP" altLang="en-US" sz="1100">
              <a:solidFill>
                <a:sysClr val="windowText" lastClr="000000"/>
              </a:solidFill>
            </a:rPr>
            <a:t> </a:t>
          </a:r>
          <a:r>
            <a:rPr kumimoji="1" lang="en-US" altLang="ja-JP" sz="1100">
              <a:solidFill>
                <a:sysClr val="windowText" lastClr="000000"/>
              </a:solidFill>
            </a:rPr>
            <a:t>-Long </a:t>
          </a:r>
          <a:r>
            <a:rPr kumimoji="1" lang="ja-JP" altLang="en-US" sz="1100">
              <a:solidFill>
                <a:sysClr val="windowText" lastClr="000000"/>
              </a:solidFill>
            </a:rPr>
            <a:t>稼働日</a:t>
          </a:r>
        </a:p>
        <a:p>
          <a:pPr algn="l"/>
          <a:r>
            <a:rPr kumimoji="1" lang="ja-JP" altLang="en-US" sz="1100">
              <a:solidFill>
                <a:sysClr val="windowText" lastClr="000000"/>
              </a:solidFill>
            </a:rPr>
            <a:t> </a:t>
          </a:r>
          <a:r>
            <a:rPr kumimoji="1" lang="en-US" altLang="ja-JP" sz="1100">
              <a:solidFill>
                <a:sysClr val="windowText" lastClr="000000"/>
              </a:solidFill>
            </a:rPr>
            <a:t>-Ranges[] </a:t>
          </a:r>
          <a:r>
            <a:rPr kumimoji="1" lang="ja-JP" altLang="en-US" sz="1100">
              <a:solidFill>
                <a:sysClr val="windowText" lastClr="000000"/>
              </a:solidFill>
            </a:rPr>
            <a:t>出勤データ</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r>
            <a:rPr kumimoji="1" lang="en-US" altLang="ja-JP" sz="1100">
              <a:solidFill>
                <a:sysClr val="windowText" lastClr="000000"/>
              </a:solidFill>
            </a:rPr>
            <a:t>note right : VBA</a:t>
          </a:r>
          <a:r>
            <a:rPr kumimoji="1" lang="ja-JP" altLang="en-US" sz="1100">
              <a:solidFill>
                <a:sysClr val="windowText" lastClr="000000"/>
              </a:solidFill>
            </a:rPr>
            <a:t>では新規クラスの継承ができないため</a:t>
          </a:r>
          <a:r>
            <a:rPr kumimoji="1" lang="en-US" altLang="ja-JP" sz="1100">
              <a:solidFill>
                <a:sysClr val="windowText" lastClr="000000"/>
              </a:solidFill>
            </a:rPr>
            <a:t>\n</a:t>
          </a:r>
          <a:r>
            <a:rPr kumimoji="1" lang="ja-JP" altLang="en-US" sz="1100">
              <a:solidFill>
                <a:sysClr val="windowText" lastClr="000000"/>
              </a:solidFill>
            </a:rPr>
            <a:t>集約で擬似的に継承を実現する</a:t>
          </a:r>
        </a:p>
        <a:p>
          <a:pPr algn="l"/>
          <a:endParaRPr kumimoji="1" lang="ja-JP" altLang="en-US" sz="1100">
            <a:solidFill>
              <a:sysClr val="windowText" lastClr="000000"/>
            </a:solidFill>
          </a:endParaRPr>
        </a:p>
        <a:p>
          <a:pPr algn="l"/>
          <a:r>
            <a:rPr kumimoji="1" lang="en-US" altLang="ja-JP" sz="1100">
              <a:solidFill>
                <a:sysClr val="windowText" lastClr="000000"/>
              </a:solidFill>
            </a:rPr>
            <a:t>class PartnerChecker {</a:t>
          </a:r>
        </a:p>
        <a:p>
          <a:pPr algn="l"/>
          <a:r>
            <a:rPr kumimoji="1" lang="en-US" altLang="ja-JP" sz="1100">
              <a:solidFill>
                <a:sysClr val="windowText" lastClr="000000"/>
              </a:solidFill>
            </a:rPr>
            <a:t> -String </a:t>
          </a:r>
          <a:r>
            <a:rPr kumimoji="1" lang="ja-JP" altLang="en-US" sz="1100">
              <a:solidFill>
                <a:sysClr val="windowText" lastClr="000000"/>
              </a:solidFill>
            </a:rPr>
            <a:t>会社名</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endParaRPr kumimoji="1" lang="en-US" altLang="ja-JP" sz="1100">
            <a:solidFill>
              <a:sysClr val="windowText" lastClr="000000"/>
            </a:solidFill>
          </a:endParaRPr>
        </a:p>
        <a:p>
          <a:pPr algn="l"/>
          <a:r>
            <a:rPr kumimoji="1" lang="en-US" altLang="ja-JP" sz="1100">
              <a:solidFill>
                <a:sysClr val="windowText" lastClr="000000"/>
              </a:solidFill>
            </a:rPr>
            <a:t>class SkyChecker {</a:t>
          </a:r>
        </a:p>
        <a:p>
          <a:pPr algn="l"/>
          <a:r>
            <a:rPr kumimoji="1" lang="en-US" altLang="ja-JP" sz="1100">
              <a:solidFill>
                <a:sysClr val="windowText" lastClr="000000"/>
              </a:solidFill>
            </a:rPr>
            <a:t> -String </a:t>
          </a:r>
          <a:r>
            <a:rPr kumimoji="1" lang="ja-JP" altLang="en-US" sz="1100">
              <a:solidFill>
                <a:sysClr val="windowText" lastClr="000000"/>
              </a:solidFill>
            </a:rPr>
            <a:t>役職</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 -Check</a:t>
          </a:r>
          <a:r>
            <a:rPr kumimoji="1" lang="ja-JP" altLang="en-US" sz="1100">
              <a:solidFill>
                <a:sysClr val="windowText" lastClr="000000"/>
              </a:solidFill>
            </a:rPr>
            <a:t>目標結果面談</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テレワーク</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遅刻理由</a:t>
          </a:r>
          <a:r>
            <a:rPr kumimoji="1" lang="en-US" altLang="ja-JP" sz="1100">
              <a:solidFill>
                <a:sysClr val="windowText" lastClr="000000"/>
              </a:solidFill>
            </a:rPr>
            <a:t>()</a:t>
          </a:r>
        </a:p>
        <a:p>
          <a:pPr algn="l"/>
          <a:r>
            <a:rPr kumimoji="1" lang="en-US" altLang="ja-JP" sz="1100">
              <a:solidFill>
                <a:sysClr val="windowText" lastClr="000000"/>
              </a:solidFill>
            </a:rPr>
            <a:t>}</a:t>
          </a:r>
        </a:p>
        <a:p>
          <a:pPr algn="l"/>
          <a:r>
            <a:rPr kumimoji="1" lang="en-US" altLang="ja-JP" sz="1100">
              <a:solidFill>
                <a:sysClr val="windowText" lastClr="000000"/>
              </a:solidFill>
            </a:rPr>
            <a:t>@enduml</a:t>
          </a:r>
          <a:endParaRPr kumimoji="1" lang="ja-JP" altLang="en-US" sz="1100">
            <a:solidFill>
              <a:sysClr val="windowText" lastClr="000000"/>
            </a:solidFill>
          </a:endParaRPr>
        </a:p>
      </xdr:txBody>
    </xdr:sp>
    <xdr:clientData/>
  </xdr:twoCellAnchor>
  <xdr:twoCellAnchor editAs="oneCell">
    <xdr:from>
      <xdr:col>8</xdr:col>
      <xdr:colOff>0</xdr:colOff>
      <xdr:row>8</xdr:row>
      <xdr:rowOff>0</xdr:rowOff>
    </xdr:from>
    <xdr:to>
      <xdr:col>15</xdr:col>
      <xdr:colOff>209550</xdr:colOff>
      <xdr:row>20</xdr:row>
      <xdr:rowOff>85725</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14913" y="1790700"/>
          <a:ext cx="5010150" cy="2771775"/>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0-05T12:47:48.057"/>
    </inkml:context>
    <inkml:brush xml:id="br0">
      <inkml:brushProperty name="width" value="0.05" units="cm"/>
      <inkml:brushProperty name="height" value="0.05" units="cm"/>
      <inkml:brushProperty name="ignorePressure" value="1"/>
    </inkml:brush>
  </inkml:definitions>
  <inkml:trace contextRef="#ctx0" brushRef="#br0">0 1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6" dT="2020-10-03T09:47:47.15" personId="{00000000-0000-0000-0000-000000000000}" id="{D312303D-986C-4A07-A662-9ED0747505A4}">
    <text>ファイルの破損を防ぐため、バックアップ先に対してファイル操作を行う。</text>
  </threadedComment>
  <threadedComment ref="D6" dT="2020-10-03T18:35:28.31" personId="{00000000-0000-0000-0000-000000000000}" id="{DD9607FA-AE2E-4926-9E88-A893103D7061}" parentId="{D312303D-986C-4A07-A662-9ED0747505A4}">
    <text>未入力の場合は当マクロと同階層にフォルダーを追加する。「backup_(日付)」</text>
  </threadedComment>
  <threadedComment ref="E23" dT="2020-10-03T16:36:21.11" personId="{00000000-0000-0000-0000-000000000000}" id="{0F9C96D9-B88B-4F97-B495-23D0B5C6E07B}">
    <text>未入力の場合は出力しない</text>
  </threadedComment>
  <threadedComment ref="E23" dT="2020-10-04T13:23:28.75" personId="{00000000-0000-0000-0000-000000000000}" id="{62B45324-0218-44E4-92DE-017C4DB6EB6E}" parentId="{0F9C96D9-B88B-4F97-B495-23D0B5C6E07B}">
    <text>チェック結果詳細にはすべて出力する？でいいのか？</text>
  </threadedComment>
  <threadedComment ref="E24" dT="2020-10-03T16:36:21.11" personId="{00000000-0000-0000-0000-000000000000}" id="{F59DF893-79FB-4822-B153-EB76035ED2A2}">
    <text>未入力の場合は出力しない</text>
  </threadedComment>
  <threadedComment ref="E25" dT="2020-10-03T16:36:21.11" personId="{00000000-0000-0000-0000-000000000000}" id="{0C7D5F1D-931E-4AF4-A536-EBA7F0D252F9}">
    <text>未入力の場合は出力しない</text>
  </threadedComment>
</ThreadedComments>
</file>

<file path=xl/threadedComments/threadedComment2.xml><?xml version="1.0" encoding="utf-8"?>
<ThreadedComments xmlns="http://schemas.microsoft.com/office/spreadsheetml/2018/threadedcomments" xmlns:x="http://schemas.openxmlformats.org/spreadsheetml/2006/main">
  <threadedComment ref="C13" dT="2020-10-03T10:00:38.56" personId="{00000000-0000-0000-0000-000000000000}" id="{3F43D754-D347-49F2-A155-DDE26D4A85A5}">
    <text>過去のスケジュールは定期的に削除しないとチェック実行が遅くなる</text>
  </threadedComment>
  <threadedComment ref="C13" dT="2020-10-03T13:53:13.19" personId="{00000000-0000-0000-0000-000000000000}" id="{32E2C2DF-AEED-4768-8C59-5903B41EBD5A}" parentId="{3F43D754-D347-49F2-A155-DDE26D4A85A5}">
    <text>重複(例えば国民の祝日でSky式典日)しているときは下に書かれたほうが有効</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www8.cao.go.jp/chosei/shukujitsu/gaiyou.html"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www.plantuml.com/plantuml/u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21"/>
  <sheetViews>
    <sheetView workbookViewId="0">
      <selection activeCell="D27" sqref="D27"/>
    </sheetView>
  </sheetViews>
  <sheetFormatPr defaultRowHeight="17.649999999999999"/>
  <cols>
    <col min="1" max="2" width="3.0625" customWidth="1"/>
    <col min="3" max="3" width="7.375" style="11" bestFit="1" customWidth="1"/>
    <col min="4" max="4" width="45.5625" customWidth="1"/>
    <col min="5" max="5" width="10.8125" style="1" bestFit="1" customWidth="1"/>
    <col min="6" max="6" width="11.75" bestFit="1" customWidth="1"/>
    <col min="7" max="7" width="3.0625" customWidth="1"/>
  </cols>
  <sheetData>
    <row r="2" spans="2:7">
      <c r="B2" s="12"/>
      <c r="C2" s="13" t="s">
        <v>46</v>
      </c>
      <c r="D2" s="12" t="s">
        <v>44</v>
      </c>
      <c r="E2" s="14" t="s">
        <v>25</v>
      </c>
      <c r="F2" s="12" t="s">
        <v>45</v>
      </c>
      <c r="G2" s="12"/>
    </row>
    <row r="3" spans="2:7">
      <c r="C3" s="11">
        <v>0.01</v>
      </c>
      <c r="D3" t="s">
        <v>62</v>
      </c>
      <c r="E3" s="15">
        <v>43466</v>
      </c>
      <c r="F3" t="s">
        <v>60</v>
      </c>
    </row>
    <row r="4" spans="2:7">
      <c r="C4" s="11">
        <v>1</v>
      </c>
      <c r="D4" t="s">
        <v>61</v>
      </c>
      <c r="E4" s="1">
        <v>44109</v>
      </c>
      <c r="F4" t="s">
        <v>60</v>
      </c>
    </row>
    <row r="21" spans="2:7">
      <c r="B21" s="12"/>
      <c r="C21" s="13"/>
      <c r="D21" s="12"/>
      <c r="E21" s="14"/>
      <c r="F21" s="12"/>
      <c r="G21" s="12"/>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ECD4A-34AE-4F21-B4E6-8C8940619E3E}">
  <sheetPr codeName="Sheet6"/>
  <dimension ref="B2"/>
  <sheetViews>
    <sheetView workbookViewId="0">
      <selection activeCell="B28" sqref="B28"/>
    </sheetView>
  </sheetViews>
  <sheetFormatPr defaultRowHeight="17.649999999999999"/>
  <sheetData>
    <row r="2" spans="2:2">
      <c r="B2" t="s">
        <v>79</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2F5F0-902D-4691-8BB4-E134CE655FE2}">
  <sheetPr codeName="Sheet3"/>
  <dimension ref="B4:F42"/>
  <sheetViews>
    <sheetView topLeftCell="A19" zoomScale="85" zoomScaleNormal="85" workbookViewId="0">
      <selection activeCell="E14" sqref="E14"/>
    </sheetView>
  </sheetViews>
  <sheetFormatPr defaultRowHeight="17.649999999999999"/>
  <cols>
    <col min="2" max="3" width="2.8125" customWidth="1"/>
    <col min="4" max="4" width="3.125" customWidth="1"/>
    <col min="5" max="5" width="24.875" customWidth="1"/>
  </cols>
  <sheetData>
    <row r="4" spans="2:6">
      <c r="B4" t="s">
        <v>24</v>
      </c>
      <c r="C4" t="s">
        <v>36</v>
      </c>
    </row>
    <row r="5" spans="2:6">
      <c r="D5" t="s">
        <v>75</v>
      </c>
    </row>
    <row r="6" spans="2:6">
      <c r="D6" t="s">
        <v>37</v>
      </c>
    </row>
    <row r="8" spans="2:6">
      <c r="D8" t="s">
        <v>35</v>
      </c>
      <c r="F8">
        <f ca="1">YEAR(TODAY())</f>
        <v>2020</v>
      </c>
    </row>
    <row r="9" spans="2:6">
      <c r="D9" t="s">
        <v>38</v>
      </c>
      <c r="F9">
        <f ca="1">MONTH(TODAY())</f>
        <v>10</v>
      </c>
    </row>
    <row r="11" spans="2:6">
      <c r="B11" t="s">
        <v>24</v>
      </c>
      <c r="C11" t="s">
        <v>41</v>
      </c>
    </row>
    <row r="13" spans="2:6">
      <c r="C13" t="s">
        <v>24</v>
      </c>
      <c r="D13" t="s">
        <v>51</v>
      </c>
    </row>
    <row r="14" spans="2:6">
      <c r="D14" t="s">
        <v>81</v>
      </c>
      <c r="F14" s="10">
        <v>0.375</v>
      </c>
    </row>
    <row r="15" spans="2:6">
      <c r="D15" t="s">
        <v>82</v>
      </c>
      <c r="F15" s="10">
        <v>0.72916666666666663</v>
      </c>
    </row>
    <row r="16" spans="2:6">
      <c r="D16" t="s">
        <v>42</v>
      </c>
      <c r="F16" s="10">
        <v>3.125E-2</v>
      </c>
    </row>
    <row r="17" spans="3:6">
      <c r="D17" t="s">
        <v>43</v>
      </c>
      <c r="F17" s="10">
        <v>2.0833333333333332E-2</v>
      </c>
    </row>
    <row r="18" spans="3:6">
      <c r="D18" t="s">
        <v>54</v>
      </c>
      <c r="F18" s="20" t="s">
        <v>55</v>
      </c>
    </row>
    <row r="19" spans="3:6">
      <c r="F19" s="10"/>
    </row>
    <row r="20" spans="3:6">
      <c r="C20" t="s">
        <v>24</v>
      </c>
      <c r="D20" t="s">
        <v>52</v>
      </c>
      <c r="F20" s="10"/>
    </row>
    <row r="21" spans="3:6">
      <c r="D21" t="s">
        <v>76</v>
      </c>
      <c r="F21" s="10" t="b">
        <v>0</v>
      </c>
    </row>
    <row r="22" spans="3:6">
      <c r="D22" s="17" t="s">
        <v>53</v>
      </c>
      <c r="E22" s="17"/>
      <c r="F22" s="10"/>
    </row>
    <row r="23" spans="3:6">
      <c r="E23" s="18" t="s">
        <v>57</v>
      </c>
      <c r="F23" s="10" t="b">
        <v>1</v>
      </c>
    </row>
    <row r="24" spans="3:6">
      <c r="E24" s="18" t="s">
        <v>58</v>
      </c>
      <c r="F24" s="10" t="b">
        <v>1</v>
      </c>
    </row>
    <row r="25" spans="3:6">
      <c r="E25" s="18" t="s">
        <v>59</v>
      </c>
      <c r="F25" s="10" t="b">
        <v>0</v>
      </c>
    </row>
    <row r="26" spans="3:6">
      <c r="F26" s="10"/>
    </row>
    <row r="27" spans="3:6">
      <c r="D27" t="s">
        <v>77</v>
      </c>
      <c r="F27" s="10" t="b">
        <v>1</v>
      </c>
    </row>
    <row r="28" spans="3:6">
      <c r="F28" s="10"/>
    </row>
    <row r="29" spans="3:6">
      <c r="D29" t="s">
        <v>67</v>
      </c>
      <c r="F29" s="10" t="b">
        <v>1</v>
      </c>
    </row>
    <row r="30" spans="3:6">
      <c r="F30" s="10"/>
    </row>
    <row r="31" spans="3:6">
      <c r="F31" s="10"/>
    </row>
    <row r="34" spans="2:6">
      <c r="B34" t="s">
        <v>24</v>
      </c>
      <c r="C34" t="s">
        <v>40</v>
      </c>
    </row>
    <row r="35" spans="2:6">
      <c r="E35" t="s">
        <v>26</v>
      </c>
      <c r="F35" t="s">
        <v>56</v>
      </c>
    </row>
    <row r="42" spans="2:6">
      <c r="B42" t="s">
        <v>24</v>
      </c>
      <c r="C42" t="s">
        <v>39</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heckSky">
                <anchor moveWithCells="1" sizeWithCells="1">
                  <from>
                    <xdr:col>6</xdr:col>
                    <xdr:colOff>0</xdr:colOff>
                    <xdr:row>1</xdr:row>
                    <xdr:rowOff>4763</xdr:rowOff>
                  </from>
                  <to>
                    <xdr:col>8</xdr:col>
                    <xdr:colOff>0</xdr:colOff>
                    <xdr:row>2</xdr:row>
                    <xdr:rowOff>0</xdr:rowOff>
                  </to>
                </anchor>
              </controlPr>
            </control>
          </mc:Choice>
        </mc:AlternateContent>
        <mc:AlternateContent xmlns:mc="http://schemas.openxmlformats.org/markup-compatibility/2006">
          <mc:Choice Requires="x14">
            <control shapeId="3079" r:id="rId5" name="Button 7">
              <controlPr defaultSize="0" print="0" autoFill="0" autoPict="0" macro="[0]!Sheet3.CheckSky">
                <anchor moveWithCells="1" sizeWithCells="1">
                  <from>
                    <xdr:col>9</xdr:col>
                    <xdr:colOff>0</xdr:colOff>
                    <xdr:row>1</xdr:row>
                    <xdr:rowOff>4763</xdr:rowOff>
                  </from>
                  <to>
                    <xdr:col>11</xdr:col>
                    <xdr:colOff>0</xdr:colOff>
                    <xdr:row>2</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3.CheckSky">
                <anchor moveWithCells="1" sizeWithCells="1">
                  <from>
                    <xdr:col>2</xdr:col>
                    <xdr:colOff>214313</xdr:colOff>
                    <xdr:row>1</xdr:row>
                    <xdr:rowOff>0</xdr:rowOff>
                  </from>
                  <to>
                    <xdr:col>5</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E4B3-35D7-4001-8EFA-CD2570695CFA}">
  <sheetPr codeName="Sheet5"/>
  <dimension ref="B2:G9"/>
  <sheetViews>
    <sheetView tabSelected="1" workbookViewId="0">
      <selection activeCell="E11" sqref="E11"/>
    </sheetView>
  </sheetViews>
  <sheetFormatPr defaultRowHeight="17.649999999999999"/>
  <cols>
    <col min="1" max="1" width="3.0625" customWidth="1"/>
    <col min="2" max="2" width="2.8125" customWidth="1"/>
    <col min="3" max="3" width="12" bestFit="1" customWidth="1"/>
    <col min="4" max="4" width="12" customWidth="1"/>
    <col min="5" max="5" width="64.125" bestFit="1" customWidth="1"/>
    <col min="6" max="6" width="10.0625" bestFit="1" customWidth="1"/>
    <col min="8" max="8" width="9.0625" customWidth="1"/>
  </cols>
  <sheetData>
    <row r="2" spans="2:7">
      <c r="B2" t="s">
        <v>24</v>
      </c>
      <c r="C2" t="s">
        <v>52</v>
      </c>
    </row>
    <row r="3" spans="2:7" ht="123.4">
      <c r="C3" s="16"/>
      <c r="E3" s="16" t="s">
        <v>80</v>
      </c>
    </row>
    <row r="5" spans="2:7">
      <c r="B5" t="s">
        <v>24</v>
      </c>
      <c r="C5" t="s">
        <v>65</v>
      </c>
    </row>
    <row r="6" spans="2:7">
      <c r="B6" s="19"/>
      <c r="C6" s="19" t="s">
        <v>63</v>
      </c>
      <c r="D6" s="19" t="s">
        <v>66</v>
      </c>
      <c r="E6" s="19" t="s">
        <v>64</v>
      </c>
      <c r="F6" s="19" t="s">
        <v>68</v>
      </c>
      <c r="G6" s="19"/>
    </row>
    <row r="7" spans="2:7">
      <c r="C7" t="s">
        <v>69</v>
      </c>
      <c r="D7" t="s">
        <v>70</v>
      </c>
      <c r="E7" t="s">
        <v>72</v>
      </c>
      <c r="F7" t="s">
        <v>71</v>
      </c>
    </row>
    <row r="8" spans="2:7">
      <c r="C8" t="s">
        <v>73</v>
      </c>
      <c r="D8" t="s">
        <v>70</v>
      </c>
      <c r="E8" t="s">
        <v>74</v>
      </c>
      <c r="F8" t="s">
        <v>71</v>
      </c>
    </row>
    <row r="9" spans="2:7">
      <c r="C9" t="s">
        <v>69</v>
      </c>
      <c r="D9" t="s">
        <v>70</v>
      </c>
      <c r="E9" t="s">
        <v>78</v>
      </c>
      <c r="F9" t="s">
        <v>71</v>
      </c>
    </row>
  </sheetData>
  <autoFilter ref="B6:F6" xr:uid="{6D556972-2F92-45E8-B05F-96A889B069F3}"/>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97F3-EA46-49B7-BC59-9B0B23FB8A62}">
  <sheetPr codeName="Sheet4"/>
  <dimension ref="B2:G50"/>
  <sheetViews>
    <sheetView zoomScale="85" zoomScaleNormal="85" workbookViewId="0">
      <selection activeCell="F31" sqref="F31"/>
    </sheetView>
  </sheetViews>
  <sheetFormatPr defaultRowHeight="17.649999999999999"/>
  <cols>
    <col min="2" max="3" width="2.5625" customWidth="1"/>
    <col min="4" max="4" width="10.8125" style="1" bestFit="1" customWidth="1"/>
  </cols>
  <sheetData>
    <row r="2" spans="2:7">
      <c r="B2" t="s">
        <v>24</v>
      </c>
      <c r="C2" s="1" t="s">
        <v>30</v>
      </c>
    </row>
    <row r="3" spans="2:7">
      <c r="C3" s="8"/>
      <c r="D3" s="8" t="s">
        <v>29</v>
      </c>
      <c r="E3" s="9" t="s">
        <v>2</v>
      </c>
      <c r="F3" s="9"/>
    </row>
    <row r="4" spans="2:7">
      <c r="D4" s="1" t="s">
        <v>0</v>
      </c>
    </row>
    <row r="5" spans="2:7">
      <c r="D5" s="1" t="s">
        <v>34</v>
      </c>
      <c r="E5" t="s">
        <v>33</v>
      </c>
    </row>
    <row r="6" spans="2:7">
      <c r="D6" s="1" t="s">
        <v>1</v>
      </c>
      <c r="E6" t="s">
        <v>5</v>
      </c>
    </row>
    <row r="8" spans="2:7">
      <c r="C8" s="8"/>
      <c r="D8" s="8" t="s">
        <v>31</v>
      </c>
      <c r="E8" s="9"/>
      <c r="F8" s="9"/>
    </row>
    <row r="10" spans="2:7">
      <c r="B10" t="s">
        <v>24</v>
      </c>
      <c r="C10" s="1" t="s">
        <v>4</v>
      </c>
    </row>
    <row r="11" spans="2:7">
      <c r="C11" s="1" t="s">
        <v>27</v>
      </c>
      <c r="E11" s="2" t="s">
        <v>28</v>
      </c>
      <c r="F11" s="2"/>
    </row>
    <row r="12" spans="2:7">
      <c r="C12" s="1"/>
      <c r="E12" s="2"/>
      <c r="F12" s="2"/>
    </row>
    <row r="13" spans="2:7">
      <c r="C13" s="3" t="s">
        <v>3</v>
      </c>
      <c r="D13" s="3"/>
      <c r="E13" s="4"/>
      <c r="F13" s="4"/>
      <c r="G13" s="4"/>
    </row>
    <row r="14" spans="2:7">
      <c r="C14" s="5"/>
      <c r="D14" s="5" t="s">
        <v>25</v>
      </c>
      <c r="E14" s="6" t="s">
        <v>26</v>
      </c>
      <c r="F14" s="6" t="s">
        <v>50</v>
      </c>
      <c r="G14" s="6"/>
    </row>
    <row r="15" spans="2:7">
      <c r="D15" s="7">
        <v>43831</v>
      </c>
      <c r="E15" t="s">
        <v>6</v>
      </c>
      <c r="F15" t="s">
        <v>0</v>
      </c>
    </row>
    <row r="16" spans="2:7">
      <c r="D16" s="7">
        <v>43843</v>
      </c>
      <c r="E16" t="s">
        <v>7</v>
      </c>
      <c r="F16" t="s">
        <v>0</v>
      </c>
    </row>
    <row r="17" spans="4:6">
      <c r="D17" s="7">
        <v>43872</v>
      </c>
      <c r="E17" t="s">
        <v>8</v>
      </c>
      <c r="F17" t="s">
        <v>0</v>
      </c>
    </row>
    <row r="18" spans="4:6">
      <c r="D18" s="7">
        <v>43884</v>
      </c>
      <c r="E18" t="s">
        <v>9</v>
      </c>
      <c r="F18" t="s">
        <v>0</v>
      </c>
    </row>
    <row r="19" spans="4:6">
      <c r="D19" s="7">
        <v>43885</v>
      </c>
      <c r="E19" t="s">
        <v>10</v>
      </c>
      <c r="F19" t="s">
        <v>0</v>
      </c>
    </row>
    <row r="20" spans="4:6">
      <c r="D20" s="7">
        <v>43910</v>
      </c>
      <c r="E20" t="s">
        <v>11</v>
      </c>
      <c r="F20" t="s">
        <v>0</v>
      </c>
    </row>
    <row r="21" spans="4:6">
      <c r="D21" s="7">
        <v>43950</v>
      </c>
      <c r="E21" t="s">
        <v>12</v>
      </c>
      <c r="F21" t="s">
        <v>0</v>
      </c>
    </row>
    <row r="22" spans="4:6">
      <c r="D22" s="7">
        <v>43954</v>
      </c>
      <c r="E22" t="s">
        <v>13</v>
      </c>
      <c r="F22" t="s">
        <v>0</v>
      </c>
    </row>
    <row r="23" spans="4:6">
      <c r="D23" s="7">
        <v>43955</v>
      </c>
      <c r="E23" t="s">
        <v>14</v>
      </c>
      <c r="F23" t="s">
        <v>0</v>
      </c>
    </row>
    <row r="24" spans="4:6">
      <c r="D24" s="7">
        <v>43956</v>
      </c>
      <c r="E24" t="s">
        <v>15</v>
      </c>
      <c r="F24" t="s">
        <v>0</v>
      </c>
    </row>
    <row r="25" spans="4:6">
      <c r="D25" s="7">
        <v>43957</v>
      </c>
      <c r="E25" t="s">
        <v>10</v>
      </c>
      <c r="F25" t="s">
        <v>0</v>
      </c>
    </row>
    <row r="26" spans="4:6">
      <c r="D26" s="7">
        <v>44035</v>
      </c>
      <c r="E26" t="s">
        <v>16</v>
      </c>
      <c r="F26" t="s">
        <v>0</v>
      </c>
    </row>
    <row r="27" spans="4:6">
      <c r="D27" s="7">
        <v>44036</v>
      </c>
      <c r="E27" t="s">
        <v>17</v>
      </c>
      <c r="F27" t="s">
        <v>0</v>
      </c>
    </row>
    <row r="28" spans="4:6">
      <c r="D28" s="7">
        <v>44053</v>
      </c>
      <c r="E28" t="s">
        <v>18</v>
      </c>
      <c r="F28" t="s">
        <v>0</v>
      </c>
    </row>
    <row r="29" spans="4:6">
      <c r="D29" s="7">
        <v>44095</v>
      </c>
      <c r="E29" t="s">
        <v>19</v>
      </c>
      <c r="F29" t="s">
        <v>0</v>
      </c>
    </row>
    <row r="30" spans="4:6">
      <c r="D30" s="7">
        <v>44096</v>
      </c>
      <c r="E30" t="s">
        <v>20</v>
      </c>
      <c r="F30" t="s">
        <v>0</v>
      </c>
    </row>
    <row r="31" spans="4:6">
      <c r="D31" s="7">
        <v>44138</v>
      </c>
      <c r="E31" t="s">
        <v>21</v>
      </c>
      <c r="F31" t="s">
        <v>0</v>
      </c>
    </row>
    <row r="32" spans="4:6">
      <c r="D32" s="7">
        <v>44158</v>
      </c>
      <c r="E32" t="s">
        <v>22</v>
      </c>
      <c r="F32" t="s">
        <v>0</v>
      </c>
    </row>
    <row r="33" spans="4:6">
      <c r="D33" s="7">
        <v>44197</v>
      </c>
      <c r="E33" t="s">
        <v>6</v>
      </c>
      <c r="F33" t="s">
        <v>0</v>
      </c>
    </row>
    <row r="34" spans="4:6">
      <c r="D34" s="7">
        <v>44207</v>
      </c>
      <c r="E34" t="s">
        <v>7</v>
      </c>
      <c r="F34" t="s">
        <v>0</v>
      </c>
    </row>
    <row r="35" spans="4:6">
      <c r="D35" s="7">
        <v>44238</v>
      </c>
      <c r="E35" t="s">
        <v>8</v>
      </c>
      <c r="F35" t="s">
        <v>0</v>
      </c>
    </row>
    <row r="36" spans="4:6">
      <c r="D36" s="7">
        <v>44250</v>
      </c>
      <c r="E36" t="s">
        <v>9</v>
      </c>
      <c r="F36" t="s">
        <v>0</v>
      </c>
    </row>
    <row r="37" spans="4:6">
      <c r="D37" s="7">
        <v>44275</v>
      </c>
      <c r="E37" t="s">
        <v>11</v>
      </c>
      <c r="F37" t="s">
        <v>0</v>
      </c>
    </row>
    <row r="38" spans="4:6">
      <c r="D38" s="7">
        <v>44315</v>
      </c>
      <c r="E38" t="s">
        <v>12</v>
      </c>
      <c r="F38" t="s">
        <v>0</v>
      </c>
    </row>
    <row r="39" spans="4:6">
      <c r="D39" s="7">
        <v>44319</v>
      </c>
      <c r="E39" t="s">
        <v>13</v>
      </c>
      <c r="F39" t="s">
        <v>0</v>
      </c>
    </row>
    <row r="40" spans="4:6">
      <c r="D40" s="7">
        <v>44320</v>
      </c>
      <c r="E40" t="s">
        <v>14</v>
      </c>
      <c r="F40" t="s">
        <v>0</v>
      </c>
    </row>
    <row r="41" spans="4:6">
      <c r="D41" s="7">
        <v>44321</v>
      </c>
      <c r="E41" t="s">
        <v>15</v>
      </c>
      <c r="F41" t="s">
        <v>0</v>
      </c>
    </row>
    <row r="42" spans="4:6">
      <c r="D42" s="7">
        <v>44396</v>
      </c>
      <c r="E42" t="s">
        <v>16</v>
      </c>
      <c r="F42" t="s">
        <v>0</v>
      </c>
    </row>
    <row r="43" spans="4:6">
      <c r="D43" s="7">
        <v>44419</v>
      </c>
      <c r="E43" t="s">
        <v>18</v>
      </c>
      <c r="F43" t="s">
        <v>0</v>
      </c>
    </row>
    <row r="44" spans="4:6">
      <c r="D44" s="7">
        <v>44459</v>
      </c>
      <c r="E44" t="s">
        <v>19</v>
      </c>
      <c r="F44" t="s">
        <v>0</v>
      </c>
    </row>
    <row r="45" spans="4:6">
      <c r="D45" s="7">
        <v>44462</v>
      </c>
      <c r="E45" t="s">
        <v>20</v>
      </c>
      <c r="F45" t="s">
        <v>0</v>
      </c>
    </row>
    <row r="46" spans="4:6">
      <c r="D46" s="7">
        <v>44480</v>
      </c>
      <c r="E46" t="s">
        <v>17</v>
      </c>
      <c r="F46" t="s">
        <v>0</v>
      </c>
    </row>
    <row r="47" spans="4:6">
      <c r="D47" s="7">
        <v>44503</v>
      </c>
      <c r="E47" t="s">
        <v>21</v>
      </c>
      <c r="F47" t="s">
        <v>0</v>
      </c>
    </row>
    <row r="48" spans="4:6">
      <c r="D48" s="7">
        <v>44523</v>
      </c>
      <c r="E48" t="s">
        <v>22</v>
      </c>
      <c r="F48" t="s">
        <v>0</v>
      </c>
    </row>
    <row r="50" spans="3:7">
      <c r="C50" s="8"/>
      <c r="D50" s="8" t="s">
        <v>23</v>
      </c>
      <c r="E50" s="9"/>
      <c r="F50" s="9"/>
      <c r="G50" s="9"/>
    </row>
  </sheetData>
  <phoneticPr fontId="1"/>
  <dataValidations count="1">
    <dataValidation type="list" allowBlank="1" showInputMessage="1" sqref="F14:F50" xr:uid="{80366509-BE8B-4559-B69D-7E2459834AD2}">
      <formula1>スケジュール種別</formula1>
    </dataValidation>
  </dataValidations>
  <hyperlinks>
    <hyperlink ref="E11" r:id="rId1" xr:uid="{9CD5454A-5C6F-4F54-A9E4-5E6E3D79C23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3EA2-7426-4B43-B40A-FBCB444D6ED1}">
  <sheetPr codeName="Sheet2"/>
  <dimension ref="B2:D7"/>
  <sheetViews>
    <sheetView zoomScaleNormal="100" workbookViewId="0">
      <selection activeCell="N5" sqref="N5"/>
    </sheetView>
  </sheetViews>
  <sheetFormatPr defaultRowHeight="17.649999999999999"/>
  <cols>
    <col min="2" max="2" width="2.8125" customWidth="1"/>
  </cols>
  <sheetData>
    <row r="2" spans="2:4">
      <c r="B2" t="s">
        <v>24</v>
      </c>
      <c r="C2" t="s">
        <v>48</v>
      </c>
      <c r="D2" s="2"/>
    </row>
    <row r="3" spans="2:4">
      <c r="C3" t="s">
        <v>49</v>
      </c>
      <c r="D3" s="2"/>
    </row>
    <row r="4" spans="2:4">
      <c r="C4" s="2" t="s">
        <v>32</v>
      </c>
    </row>
    <row r="7" spans="2:4">
      <c r="B7" t="s">
        <v>24</v>
      </c>
      <c r="C7" t="s">
        <v>47</v>
      </c>
    </row>
  </sheetData>
  <phoneticPr fontId="1"/>
  <hyperlinks>
    <hyperlink ref="C4" r:id="rId1" xr:uid="{F54D1A1B-4445-42DF-B2B2-964F12B048A5}"/>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19</vt:i4>
      </vt:variant>
    </vt:vector>
  </HeadingPairs>
  <TitlesOfParts>
    <vt:vector size="25" baseType="lpstr">
      <vt:lpstr>変更履歴</vt:lpstr>
      <vt:lpstr>要望</vt:lpstr>
      <vt:lpstr>チェック</vt:lpstr>
      <vt:lpstr>チェック結果</vt:lpstr>
      <vt:lpstr>カレンダー</vt:lpstr>
      <vt:lpstr>設計書</vt:lpstr>
      <vt:lpstr>IsOutputCell</vt:lpstr>
      <vt:lpstr>IsOutputDetail</vt:lpstr>
      <vt:lpstr>IsOutputError</vt:lpstr>
      <vt:lpstr>IsOutputFile</vt:lpstr>
      <vt:lpstr>IsOutputInfo</vt:lpstr>
      <vt:lpstr>IsOutputWarning</vt:lpstr>
      <vt:lpstr>スケジュール</vt:lpstr>
      <vt:lpstr>スケジュール種別</vt:lpstr>
      <vt:lpstr>チェック結果出力先</vt:lpstr>
      <vt:lpstr>チェック対象フォルダ</vt:lpstr>
      <vt:lpstr>チェック対象月</vt:lpstr>
      <vt:lpstr>チェック対象年</vt:lpstr>
      <vt:lpstr>バックアップ先</vt:lpstr>
      <vt:lpstr>昼休憩時間</vt:lpstr>
      <vt:lpstr>定時後休憩時間</vt:lpstr>
      <vt:lpstr>定時語休憩時間</vt:lpstr>
      <vt:lpstr>定時出勤時間</vt:lpstr>
      <vt:lpstr>定時退勤時間</vt:lpstr>
      <vt:lpstr>定時退社日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2020-10-03T16:40:19Z</dcterms:created>
  <dcterms:modified xsi:type="dcterms:W3CDTF">2020-10-05T14:54:38Z</dcterms:modified>
</cp:coreProperties>
</file>